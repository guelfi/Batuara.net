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lano de Ação" sheetId="1" state="visible" r:id="rId1"/>
  </sheets>
  <definedNames>
    <definedName name="valuevx">42.314159</definedName>
    <definedName name="_xlnm._FilterDatabase" localSheetId="0" hidden="1">'Plano de Ação'!$B$12:$R$117</definedName>
    <definedName name="_xlnm.Print_Area" localSheetId="0">'Plano de Ação'!$A$1:$O$19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\$#,##0_);[Red]&quot;($&quot;#,##0\)"/>
  </numFmts>
  <fonts count="26">
    <font>
      <name val="Calibri"/>
      <charset val="1"/>
      <family val="2"/>
      <color theme="1"/>
      <sz val="11"/>
    </font>
    <font>
      <name val="Arial"/>
      <charset val="1"/>
      <family val="2"/>
      <color theme="1"/>
      <sz val="11"/>
    </font>
    <font>
      <name val="Arial"/>
      <charset val="1"/>
      <family val="2"/>
      <color theme="1"/>
      <sz val="11"/>
      <u val="single"/>
    </font>
    <font>
      <name val="Arial"/>
      <charset val="1"/>
      <family val="2"/>
      <b val="1"/>
      <color theme="1"/>
      <sz val="18"/>
    </font>
    <font>
      <name val="Arial"/>
      <charset val="1"/>
      <family val="2"/>
      <b val="1"/>
      <color theme="4"/>
      <sz val="10"/>
      <u val="single"/>
    </font>
    <font>
      <name val="Arial"/>
      <charset val="1"/>
      <family val="2"/>
      <b val="1"/>
      <color theme="0"/>
      <sz val="11"/>
    </font>
    <font>
      <name val="Arial"/>
      <charset val="1"/>
      <sz val="8"/>
    </font>
    <font>
      <name val="Arial"/>
      <charset val="1"/>
      <family val="2"/>
      <b val="1"/>
      <sz val="8"/>
    </font>
    <font>
      <name val="Arial"/>
      <charset val="1"/>
      <family val="2"/>
      <color theme="1"/>
      <sz val="8"/>
    </font>
    <font>
      <name val="Arial"/>
      <charset val="1"/>
      <family val="2"/>
      <sz val="8"/>
    </font>
    <font>
      <name val="Arial"/>
      <charset val="1"/>
      <family val="2"/>
      <color theme="4" tint="-0.249977111117893"/>
      <sz val="8"/>
    </font>
    <font>
      <name val="Arial"/>
      <charset val="1"/>
      <family val="2"/>
      <b val="1"/>
      <color theme="1"/>
      <sz val="8"/>
    </font>
    <font>
      <name val="Arial"/>
      <charset val="1"/>
      <b val="1"/>
      <sz val="8"/>
    </font>
    <font>
      <name val="Arial"/>
      <charset val="1"/>
      <family val="2"/>
      <b val="1"/>
      <color theme="4" tint="-0.249977111117893"/>
      <sz val="8"/>
    </font>
    <font>
      <name val="Arial"/>
      <charset val="1"/>
      <family val="2"/>
      <b val="1"/>
      <color theme="0"/>
      <sz val="8"/>
    </font>
    <font>
      <name val="Arial"/>
      <charset val="1"/>
      <family val="2"/>
      <b val="1"/>
      <color theme="4" tint="-0.249977111117893"/>
      <sz val="11"/>
    </font>
    <font>
      <name val="Arial"/>
      <charset val="1"/>
      <family val="2"/>
      <b val="1"/>
      <color theme="0" tint="-0.499984740745262"/>
      <sz val="8"/>
    </font>
    <font>
      <name val="Arial"/>
      <charset val="1"/>
      <family val="2"/>
      <b val="1"/>
      <color theme="3"/>
      <sz val="8"/>
    </font>
    <font>
      <name val="Calibri"/>
      <charset val="1"/>
      <family val="2"/>
      <color theme="1"/>
      <sz val="14"/>
    </font>
    <font>
      <name val="Calibri"/>
      <charset val="1"/>
      <family val="2"/>
      <color theme="1"/>
      <sz val="10"/>
      <u val="single"/>
    </font>
    <font>
      <name val="Calibri"/>
      <charset val="1"/>
      <family val="2"/>
      <color theme="1"/>
      <sz val="14"/>
      <u val="single"/>
    </font>
    <font>
      <name val="Calibri"/>
      <charset val="1"/>
      <family val="2"/>
      <color theme="1"/>
      <sz val="10"/>
    </font>
    <font>
      <name val="Calibri"/>
      <charset val="1"/>
      <family val="2"/>
      <sz val="10"/>
    </font>
    <font>
      <name val="Webdings"/>
      <charset val="1"/>
      <color rgb="FF0070C0"/>
      <sz val="10"/>
    </font>
    <font>
      <name val="Calibri"/>
      <charset val="1"/>
      <family val="2"/>
      <color rgb="FF002060"/>
      <sz val="10"/>
    </font>
    <font>
      <name val="Calibri"/>
      <charset val="1"/>
      <color rgb="FF002060"/>
      <sz val="10"/>
    </font>
  </fonts>
  <fills count="12">
    <fill>
      <patternFill/>
    </fill>
    <fill>
      <patternFill patternType="gray125"/>
    </fill>
    <fill>
      <patternFill patternType="solid">
        <fgColor theme="4" tint="-0.249977111117893"/>
        <bgColor rgb="FF5F5F5F"/>
      </patternFill>
    </fill>
    <fill>
      <patternFill patternType="solid">
        <fgColor theme="4"/>
        <bgColor rgb="FF316786"/>
      </patternFill>
    </fill>
    <fill>
      <patternFill patternType="solid">
        <fgColor theme="4" tint="0.5998718222602009"/>
        <bgColor rgb="FFC0C0C0"/>
      </patternFill>
    </fill>
    <fill>
      <patternFill patternType="solid">
        <fgColor theme="4" tint="0.7998901333658864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rgb="FF00B050"/>
        <bgColor rgb="FF008000"/>
      </patternFill>
    </fill>
    <fill>
      <patternFill patternType="solid">
        <fgColor rgb="FFFF0000"/>
        <bgColor rgb="FFC34141"/>
      </patternFill>
    </fill>
    <fill>
      <patternFill patternType="solid">
        <fgColor rgb="FFFFFF00"/>
        <bgColor rgb="FFFFFF00"/>
      </patternFill>
    </fill>
    <fill>
      <patternFill patternType="solid">
        <fgColor theme="8" tint="-0.249977111117893"/>
        <bgColor rgb="FF316786"/>
      </patternFill>
    </fill>
    <fill>
      <patternFill patternType="solid">
        <fgColor theme="0" tint="-0.1499984740745262"/>
        <bgColor rgb="FFD8E8F1"/>
      </patternFill>
    </fill>
  </fills>
  <borders count="11">
    <border>
      <left/>
      <right/>
      <top/>
      <bottom/>
      <diagonal/>
    </border>
    <border>
      <left style="thin">
        <color theme="1" tint="0.499893185216834"/>
      </left>
      <right style="thin">
        <color theme="1" tint="0.499893185216834"/>
      </right>
      <top style="thin">
        <color theme="1" tint="0.499893185216834"/>
      </top>
      <bottom/>
      <diagonal/>
    </border>
    <border>
      <left style="thin">
        <color theme="1" tint="0.499893185216834"/>
      </left>
      <right/>
      <top/>
      <bottom/>
      <diagonal/>
    </border>
    <border>
      <left/>
      <right style="thin">
        <color theme="1" tint="0.499893185216834"/>
      </right>
      <top/>
      <bottom/>
      <diagonal/>
    </border>
    <border>
      <left style="thin">
        <color theme="1" tint="0.499893185216834"/>
      </left>
      <right/>
      <top/>
      <bottom style="thin">
        <color theme="1" tint="0.499893185216834"/>
      </bottom>
      <diagonal/>
    </border>
    <border>
      <left/>
      <right/>
      <top/>
      <bottom style="thin">
        <color theme="1" tint="0.499893185216834"/>
      </bottom>
      <diagonal/>
    </border>
    <border>
      <left/>
      <right style="thin">
        <color theme="1" tint="0.499893185216834"/>
      </right>
      <top/>
      <bottom style="thin">
        <color theme="1" tint="0.499893185216834"/>
      </bottom>
      <diagonal/>
    </border>
    <border>
      <left style="thin">
        <color auto="1"/>
      </left>
      <right/>
      <top/>
      <bottom/>
      <diagonal/>
    </border>
    <border>
      <left style="thin">
        <color theme="1" tint="0.499893185216834"/>
      </left>
      <right style="thin">
        <color theme="1" tint="0.499893185216834"/>
      </right>
      <top style="thin">
        <color theme="1" tint="0.499893185216834"/>
      </top>
      <bottom style="thin">
        <color theme="1" tint="0.499893185216834"/>
      </bottom>
      <diagonal/>
    </border>
    <border>
      <left/>
      <right/>
      <top style="thin">
        <color theme="1" tint="0.499893185216834"/>
      </top>
      <bottom/>
      <diagonal/>
    </border>
    <border>
      <left/>
      <right style="thin">
        <color theme="1" tint="0.499893185216834"/>
      </right>
      <top style="thin">
        <color theme="1" tint="0.499893185216834"/>
      </top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0" fontId="1" fillId="4" borderId="2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horizontal="right" vertical="center" indent="1"/>
    </xf>
    <xf numFmtId="0" fontId="10" fillId="5" borderId="0" applyAlignment="1" pivotButton="0" quotePrefix="0" xfId="0">
      <alignment horizontal="left" vertical="center" indent="1"/>
    </xf>
    <xf numFmtId="38" fontId="11" fillId="5" borderId="0" applyAlignment="1" pivotButton="0" quotePrefix="0" xfId="0">
      <alignment horizontal="center" vertical="center"/>
    </xf>
    <xf numFmtId="38" fontId="12" fillId="5" borderId="0" applyAlignment="1" pivotButton="0" quotePrefix="0" xfId="0">
      <alignment horizontal="left" vertical="center" indent="1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13" fillId="6" borderId="0" applyAlignment="1" pivotButton="0" quotePrefix="0" xfId="0">
      <alignment horizontal="center" vertical="center"/>
    </xf>
    <xf numFmtId="9" fontId="14" fillId="7" borderId="0" applyAlignment="1" pivotButton="0" quotePrefix="0" xfId="0">
      <alignment horizontal="center" vertical="center"/>
    </xf>
    <xf numFmtId="38" fontId="8" fillId="4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/>
    </xf>
    <xf numFmtId="9" fontId="14" fillId="8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top"/>
    </xf>
    <xf numFmtId="9" fontId="14" fillId="3" borderId="0" applyAlignment="1" pivotButton="0" quotePrefix="0" xfId="0">
      <alignment horizontal="center" vertical="center"/>
    </xf>
    <xf numFmtId="9" fontId="16" fillId="9" borderId="0" applyAlignment="1" pivotButton="0" quotePrefix="0" xfId="0">
      <alignment horizontal="center" vertical="center"/>
    </xf>
    <xf numFmtId="0" fontId="16" fillId="9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9" fontId="17" fillId="4" borderId="0" applyAlignment="1" pivotButton="0" quotePrefix="0" xfId="0">
      <alignment horizontal="center" vertical="center"/>
    </xf>
    <xf numFmtId="9" fontId="14" fillId="10" borderId="0" applyAlignment="1" pivotButton="0" quotePrefix="0" xfId="0">
      <alignment horizontal="center" vertical="center"/>
    </xf>
    <xf numFmtId="0" fontId="1" fillId="5" borderId="3" applyAlignment="1" pivotButton="0" quotePrefix="0" xfId="0">
      <alignment vertical="center"/>
    </xf>
    <xf numFmtId="0" fontId="1" fillId="4" borderId="4" applyAlignment="1" pivotButton="0" quotePrefix="0" xfId="0">
      <alignment horizontal="center" vertical="center"/>
    </xf>
    <xf numFmtId="0" fontId="1" fillId="4" borderId="5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5" applyAlignment="1" pivotButton="0" quotePrefix="0" xfId="0">
      <alignment vertical="center"/>
    </xf>
    <xf numFmtId="0" fontId="1" fillId="5" borderId="6" applyAlignment="1" pivotButton="0" quotePrefix="0" xfId="0">
      <alignment horizontal="center" vertical="center"/>
    </xf>
    <xf numFmtId="0" fontId="18" fillId="0" borderId="0" pivotButton="0" quotePrefix="0" xfId="0"/>
    <xf numFmtId="0" fontId="18" fillId="6" borderId="0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right"/>
    </xf>
    <xf numFmtId="0" fontId="20" fillId="0" borderId="0" pivotButton="0" quotePrefix="0" xfId="0"/>
    <xf numFmtId="0" fontId="18" fillId="6" borderId="0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 wrapText="1"/>
    </xf>
    <xf numFmtId="0" fontId="22" fillId="6" borderId="8" applyAlignment="1" pivotButton="0" quotePrefix="0" xfId="0">
      <alignment horizontal="center" vertical="center" wrapText="1"/>
    </xf>
    <xf numFmtId="14" fontId="21" fillId="0" borderId="8" applyAlignment="1" pivotButton="0" quotePrefix="0" xfId="0">
      <alignment horizontal="center" vertical="center" wrapText="1"/>
    </xf>
    <xf numFmtId="9" fontId="21" fillId="11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vertical="center" wrapText="1"/>
    </xf>
    <xf numFmtId="0" fontId="25" fillId="0" borderId="0" applyAlignment="1" pivotButton="0" quotePrefix="0" xfId="0">
      <alignment vertical="center"/>
    </xf>
    <xf numFmtId="0" fontId="25" fillId="6" borderId="0" applyAlignment="1" pivotButton="0" quotePrefix="0" xfId="0">
      <alignment vertical="center"/>
    </xf>
    <xf numFmtId="0" fontId="20" fillId="6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3" borderId="7" applyAlignment="1" pivotButton="0" quotePrefix="0" xfId="0">
      <alignment horizontal="center"/>
    </xf>
    <xf numFmtId="0" fontId="1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 vertical="center"/>
    </xf>
    <xf numFmtId="0" fontId="0" fillId="0" borderId="5" pivotButton="0" quotePrefix="0" xfId="0"/>
    <xf numFmtId="0" fontId="3" fillId="0" borderId="0" applyAlignment="1" pivotButton="0" quotePrefix="0" xfId="0">
      <alignment horizontal="center" vertical="center"/>
    </xf>
  </cellXfs>
  <cellStyles count="1">
    <cellStyle name="Normal" xfId="0" builtinId="0"/>
  </cellStyles>
  <dxfs count="5">
    <dxf>
      <font>
        <color rgb="FF418AB3"/>
      </font>
      <fill>
        <patternFill>
          <bgColor rgb="FF000000"/>
        </patternFill>
      </fill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5F5F5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33D"/>
      <rgbColor rgb="FF800080"/>
      <rgbColor rgb="FF316786"/>
      <rgbColor rgb="FFC0C0C0"/>
      <rgbColor rgb="FF808080"/>
      <rgbColor rgb="FF9999FF"/>
      <rgbColor rgb="FFC34141"/>
      <rgbColor rgb="FFFFFFCC"/>
      <rgbColor rgb="FFD8E8F1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CCFF"/>
      <rgbColor rgb="FFCCFFFF"/>
      <rgbColor rgb="FFCCFFCC"/>
      <rgbColor rgb="FFFFFF99"/>
      <rgbColor rgb="FFB1D1E3"/>
      <rgbColor rgb="FFFF99CC"/>
      <rgbColor rgb="FFCC99FF"/>
      <rgbColor rgb="FFFFCC99"/>
      <rgbColor rgb="FF3366FF"/>
      <rgbColor rgb="FF33CCCC"/>
      <rgbColor rgb="FF99CC00"/>
      <rgbColor rgb="FFFFCC00"/>
      <rgbColor rgb="FFE68422"/>
      <rgbColor rgb="FFFF6600"/>
      <rgbColor rgb="FF5F5F5F"/>
      <rgbColor rgb="FF7F7F7F"/>
      <rgbColor rgb="FF002060"/>
      <rgbColor rgb="FF418AB3"/>
      <rgbColor rgb="FF003300"/>
      <rgbColor rgb="FF333300"/>
      <rgbColor rgb="FF993300"/>
      <rgbColor rgb="FF993366"/>
      <rgbColor rgb="FF333399"/>
      <rgbColor rgb="FF2045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888748818153"/>
          <y val="0.08529598981540421"/>
          <w val="0.660416010085093"/>
          <h val="0.713558243157225"/>
        </manualLayout>
      </layout>
      <doughnutChart>
        <varyColors val="1"/>
        <ser>
          <idx val="0"/>
          <order val="0"/>
          <spPr>
            <a:solidFill xmlns:a="http://schemas.openxmlformats.org/drawingml/2006/main">
              <a:srgbClr val="418AB3"/>
            </a:solidFill>
            <a:ln xmlns:a="http://schemas.openxmlformats.org/drawingml/2006/main" w="1260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18AB3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87A33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C34141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E68422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7F7F7F"/>
              </a:solidFill>
              <a:ln xmlns:a="http://schemas.openxmlformats.org/drawingml/2006/main" w="1260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1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1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1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1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FFFFFF"/>
                    </a:solidFill>
                    <a:uFillTx/>
                    <a:latin typeface="Calibri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1"/>
            <showLeaderLines val="1"/>
          </dLbls>
          <cat>
            <numRef>
              <f>'Plano de Ação'!$J$5:$J$9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</v>
                </pt>
              </numCache>
            </numRef>
          </cat>
          <val>
            <numRef>
              <f>'Plano de Ação'!$J$5:$J$9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gap"/>
  </chart>
  <spPr>
    <a:noFill xmlns:a="http://schemas.openxmlformats.org/drawingml/2006/main"/>
    <a:ln xmlns:a="http://schemas.openxmlformats.org/drawingml/2006/main" w="9360">
      <a:noFill/>
      <a:prstDash val="solid"/>
    </a:ln>
  </spPr>
</chartSpace>
</file>

<file path=xl/comments/comment1.xml><?xml version="1.0" encoding="utf-8"?>
<comments xmlns="http://schemas.openxmlformats.org/spreadsheetml/2006/main">
  <authors>
    <author>Joffre</author>
    <author>Gabi</author>
  </authors>
  <commentList>
    <comment ref="C12" authorId="0" shapeId="0">
      <text>
        <t>Joffre:
Qual ponto específico do requisito deseja-se testar? Ex.: Validar se o campo X está não editável na atividade Y</t>
      </text>
    </comment>
    <comment ref="D12" authorId="0" shapeId="0">
      <text>
        <t>Joffre:
Descrever os passos necessários para validar o cenário de teste. Ex.: solicitar um fluxo de desligamento e, na atividade de aprovação Y, validar se o campo X está não editável</t>
      </text>
    </comment>
    <comment ref="E12" authorId="0" shapeId="0">
      <text>
        <t>Joffre:
Descrever o resultado esperado para que o cenário de teste seja dado como aceito. Ex.: que o campo X esteja não editável na atividade de aprovação Y</t>
      </text>
    </comment>
    <comment ref="F12" authorId="0" shapeId="0">
      <text>
        <t>Joffre:
Resultado obtido após execução do caso de teste. Se bem sucedido, basta copiar o resultado esperado. Se falho, descrever com detalhes o que aconteceu para retrabalho do desenvolvedor.</t>
      </text>
    </comment>
    <comment ref="G12" authorId="0" shapeId="0">
      <text>
        <t>Joffre:
Nome.Sobrenome do analista/dev responsável pela execução do teste.</t>
      </text>
    </comment>
    <comment ref="M12" authorId="1" shapeId="0">
      <text>
        <t xml:space="preserve">Radar de Projetos:
Coluna preenchida manualmente
</t>
      </text>
    </comment>
    <comment ref="N12" authorId="1" shapeId="0">
      <text>
        <t>Radar de Projetos:
Coluna preenchida automaticamente</t>
      </text>
    </comment>
    <comment ref="O12" authorId="1" shapeId="0">
      <text>
        <t xml:space="preserve">Radar de Projetos:
Legenda:
Azul: Concluída
Vermelho: atrasa
Amarela: reprograma
Verde: Em andamento sem reprogramação de data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12</col>
      <colOff>28440</colOff>
      <row>3</row>
      <rowOff>9360</rowOff>
    </from>
    <to>
      <col>15</col>
      <colOff>375</colOff>
      <row>9</row>
      <rowOff>54360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TravelBudget">
      <a:dk1>
        <a:srgbClr val="000000"/>
      </a:dk1>
      <a:lt1>
        <a:srgbClr val="FFFFFF"/>
      </a:lt1>
      <a:dk2>
        <a:srgbClr val="204559"/>
      </a:dk2>
      <a:lt2>
        <a:srgbClr val="F4EDE4"/>
      </a:lt2>
      <a:accent1>
        <a:srgbClr val="418AB3"/>
      </a:accent1>
      <a:accent2>
        <a:srgbClr val="87A33D"/>
      </a:accent2>
      <a:accent3>
        <a:srgbClr val="C34141"/>
      </a:accent3>
      <a:accent4>
        <a:srgbClr val="E68422"/>
      </a:accent4>
      <a:accent5>
        <a:srgbClr val="7F7F7F"/>
      </a:accent5>
      <a:accent6>
        <a:srgbClr val="925DB3"/>
      </a:accent6>
      <a:hlink>
        <a:srgbClr val="7F7F7F"/>
      </a:hlink>
      <a:folHlink>
        <a:srgbClr val="A5A5A5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U118"/>
  <sheetViews>
    <sheetView showGridLines="0" tabSelected="1" zoomScaleNormal="100" workbookViewId="0">
      <pane ySplit="12" topLeftCell="A44" activePane="bottomLeft" state="frozen"/>
      <selection pane="bottomLeft" activeCell="F74" sqref="F74"/>
    </sheetView>
  </sheetViews>
  <sheetFormatPr baseColWidth="8" defaultColWidth="9.140625" defaultRowHeight="14.25"/>
  <cols>
    <col width="2.85546875" customWidth="1" style="56" min="1" max="1"/>
    <col width="6.140625" customWidth="1" style="2" min="2" max="2"/>
    <col width="33" customWidth="1" style="56" min="3" max="3"/>
    <col width="34.42578125" customWidth="1" style="56" min="4" max="4"/>
    <col width="31.140625" customWidth="1" style="56" min="5" max="5"/>
    <col width="26.140625" customWidth="1" style="56" min="6" max="6"/>
    <col width="10.5703125" customWidth="1" style="56" min="7" max="11"/>
    <col width="18.140625" customWidth="1" style="56" min="12" max="12"/>
    <col width="11.85546875" customWidth="1" style="56" min="13" max="13"/>
    <col width="12.7109375" customWidth="1" style="56" min="14" max="14"/>
    <col width="8.28515625" customWidth="1" style="56" min="15" max="15"/>
    <col width="51" customWidth="1" style="56" min="16" max="16"/>
    <col hidden="1" width="13" customWidth="1" style="53" min="17" max="17"/>
    <col hidden="1" outlineLevel="1" width="13" customWidth="1" style="53" min="18" max="19"/>
    <col hidden="1" width="13" customWidth="1" style="53" min="20" max="20"/>
    <col hidden="1" width="13" customWidth="1" style="53" min="21" max="21"/>
    <col width="9.140625" customWidth="1" style="56" min="22" max="22"/>
    <col width="9.140625" customWidth="1" style="56" min="23" max="16384"/>
  </cols>
  <sheetData>
    <row r="1" ht="31.5" customFormat="1" customHeight="1" s="61">
      <c r="A1" s="67" t="inlineStr">
        <is>
          <t>Planilha de Casos de Testes</t>
        </is>
      </c>
      <c r="Q1" s="63" t="n"/>
      <c r="R1" s="5" t="n"/>
      <c r="S1" s="5" t="n"/>
      <c r="T1" s="5" t="n"/>
      <c r="U1" s="5" t="n"/>
    </row>
    <row r="2" ht="30" customFormat="1" customHeight="1" s="61">
      <c r="R2" s="5" t="n"/>
      <c r="S2" s="5" t="n"/>
      <c r="T2" s="5" t="n"/>
      <c r="U2" s="5" t="n"/>
    </row>
    <row r="3" ht="15" customFormat="1" customHeight="1" s="61">
      <c r="A3" s="61" t="n"/>
      <c r="B3" s="62" t="inlineStr">
        <is>
          <t>Desempenho</t>
        </is>
      </c>
      <c r="C3" s="58" t="n"/>
      <c r="D3" s="58" t="n"/>
      <c r="E3" s="58" t="n"/>
      <c r="F3" s="58" t="n"/>
      <c r="G3" s="59" t="n"/>
      <c r="H3" s="57" t="inlineStr">
        <is>
          <t>Dados Gerais</t>
        </is>
      </c>
      <c r="I3" s="58" t="n"/>
      <c r="J3" s="58" t="n"/>
      <c r="K3" s="58" t="n"/>
      <c r="L3" s="58" t="n"/>
      <c r="M3" s="58" t="n"/>
      <c r="N3" s="58" t="n"/>
      <c r="O3" s="58" t="n"/>
      <c r="P3" s="59" t="n"/>
      <c r="R3" s="5" t="n"/>
      <c r="S3" s="6" t="n"/>
      <c r="T3" s="6" t="n"/>
      <c r="U3" s="6" t="n"/>
    </row>
    <row r="4" ht="14.25" customFormat="1" customHeight="1" s="61">
      <c r="A4" s="61" t="n"/>
      <c r="B4" s="7" t="n"/>
      <c r="C4" s="8" t="inlineStr">
        <is>
          <t>Índice de Desempenho</t>
        </is>
      </c>
      <c r="D4" s="9" t="n"/>
      <c r="E4" s="9" t="n"/>
      <c r="F4" s="9" t="n"/>
      <c r="G4" s="10" t="n"/>
      <c r="H4" s="11" t="n"/>
      <c r="I4" s="12" t="n"/>
      <c r="J4" s="13" t="n"/>
      <c r="K4" s="14">
        <f>SUM(K5:K9)</f>
        <v/>
      </c>
      <c r="L4" s="15" t="inlineStr">
        <is>
          <t>Resultado dos Testes</t>
        </is>
      </c>
      <c r="M4" s="16" t="n"/>
      <c r="N4" s="16" t="n"/>
      <c r="O4" s="16" t="n"/>
      <c r="P4" s="14">
        <f>COUNTA($L$13:$L$117)</f>
        <v/>
      </c>
      <c r="Q4" s="17" t="n"/>
      <c r="R4" s="5" t="n"/>
      <c r="S4" s="6" t="n"/>
      <c r="T4" s="6" t="n"/>
      <c r="U4" s="6" t="n"/>
    </row>
    <row r="5" ht="14.25" customFormat="1" customHeight="1" s="61">
      <c r="A5" s="61" t="n"/>
      <c r="B5" s="7" t="n"/>
      <c r="C5" s="18">
        <f>IFERROR(C9/C7,"0,0")</f>
        <v/>
      </c>
      <c r="D5" s="9" t="n"/>
      <c r="E5" s="9" t="n"/>
      <c r="F5" s="9" t="n"/>
      <c r="G5" s="10" t="n"/>
      <c r="H5" s="11" t="n"/>
      <c r="I5" s="12" t="inlineStr">
        <is>
          <t>Concluida</t>
        </is>
      </c>
      <c r="J5" s="19">
        <f>K5/K4</f>
        <v/>
      </c>
      <c r="K5" s="20">
        <f>COUNTIF(Q:Q,1)</f>
        <v/>
      </c>
      <c r="L5" s="20" t="n"/>
      <c r="M5" s="16" t="n"/>
      <c r="N5" s="16" t="n"/>
      <c r="O5" s="16" t="n"/>
      <c r="P5" s="21">
        <f>"Aprovado: "&amp;TEXT(COUNTIF($L$13:$L$117,"Aprovado")/$P$4,"0%")&amp;" ("&amp;COUNTIF($L$13:$L$117,"Aprovado")&amp;")"</f>
        <v/>
      </c>
      <c r="Q5" s="5" t="n"/>
      <c r="R5" s="5" t="n"/>
      <c r="S5" s="6" t="n"/>
      <c r="T5" s="6" t="n"/>
      <c r="U5" s="6" t="n"/>
    </row>
    <row r="6" ht="14.25" customFormat="1" customHeight="1" s="61">
      <c r="A6" s="61" t="n"/>
      <c r="B6" s="7" t="n"/>
      <c r="C6" s="22" t="inlineStr">
        <is>
          <t>Planejado - Linha de Base</t>
        </is>
      </c>
      <c r="D6" s="9" t="n"/>
      <c r="E6" s="9" t="n"/>
      <c r="F6" s="9" t="n"/>
      <c r="G6" s="10" t="n"/>
      <c r="H6" s="11" t="n"/>
      <c r="I6" s="12" t="inlineStr">
        <is>
          <t>Atrasadas</t>
        </is>
      </c>
      <c r="J6" s="23">
        <f>K6/K4</f>
        <v/>
      </c>
      <c r="K6" s="20">
        <f>COUNTIF(Q:Q,2)</f>
        <v/>
      </c>
      <c r="L6" s="20" t="n"/>
      <c r="M6" s="60" t="n"/>
      <c r="P6" s="24">
        <f>"Reprovado: "&amp;TEXT(COUNTIF($L$13:$L$117,"Reprovado")/$P$4,"0%")&amp;" ("&amp;COUNTIF($L$13:$L$117,"Reprovado")&amp;")"</f>
        <v/>
      </c>
      <c r="Q6" s="25" t="n"/>
      <c r="R6" s="5" t="n"/>
      <c r="S6" s="6" t="n"/>
      <c r="T6" s="6" t="n"/>
      <c r="U6" s="6" t="n"/>
    </row>
    <row r="7" ht="14.25" customFormat="1" customHeight="1" s="61">
      <c r="A7" s="61" t="n"/>
      <c r="B7" s="7" t="n"/>
      <c r="C7" s="26">
        <f>IFERROR((SUM(N:N))/(COUNT(N:N)),0)</f>
        <v/>
      </c>
      <c r="D7" s="9" t="n"/>
      <c r="E7" s="9" t="n"/>
      <c r="F7" s="9" t="n"/>
      <c r="G7" s="10" t="n"/>
      <c r="H7" s="11" t="n"/>
      <c r="I7" s="12" t="inlineStr">
        <is>
          <t>Reprogamadas</t>
        </is>
      </c>
      <c r="J7" s="27">
        <f>K7/K4</f>
        <v/>
      </c>
      <c r="K7" s="20">
        <f>COUNTIF(Q:Q,3)</f>
        <v/>
      </c>
      <c r="L7" s="20" t="n"/>
      <c r="P7" s="28">
        <f>"Bloqueado: "&amp;TEXT(COUNTIF($L$13:$L$117,"Bloqueado")/$P$4,"0%")&amp;" ("&amp;COUNTIF($L$13:$L$117,"Bloqueado")&amp;")"</f>
        <v/>
      </c>
      <c r="Q7" s="25" t="n"/>
      <c r="R7" s="5" t="n"/>
      <c r="S7" s="6" t="n"/>
      <c r="T7" s="6" t="n"/>
      <c r="U7" s="6" t="n"/>
    </row>
    <row r="8" ht="14.25" customFormat="1" customHeight="1" s="61">
      <c r="A8" s="61" t="n"/>
      <c r="B8" s="7" t="n"/>
      <c r="C8" s="8" t="inlineStr">
        <is>
          <t>Realizado</t>
        </is>
      </c>
      <c r="D8" s="9" t="n"/>
      <c r="E8" s="9" t="n"/>
      <c r="F8" s="9" t="n"/>
      <c r="G8" s="10" t="n"/>
      <c r="H8" s="11" t="n"/>
      <c r="I8" s="12" t="inlineStr">
        <is>
          <t>Em andamento</t>
        </is>
      </c>
      <c r="J8" s="26">
        <f>K8/K4</f>
        <v/>
      </c>
      <c r="K8" s="20">
        <f>COUNTIF(Q:Q,4)</f>
        <v/>
      </c>
      <c r="L8" s="20" t="n"/>
      <c r="M8" s="16" t="n"/>
      <c r="N8" s="16" t="n"/>
      <c r="O8" s="16" t="n"/>
      <c r="P8" s="29">
        <f>"Outros: "&amp;TEXT(($P$4-COUNTIF($L$13:$L$117,"Aprovado")-COUNTIF($L$13:$L$117,"Reprovado")-COUNTIF($L$13:$L$117,"Bloqueado"))/$P$4,"0%")&amp;" ("&amp;($P$4-COUNTIF($L$13:$L$117,"Aprovado")-COUNTIF($L$13:$L$117,"Reprovado")-COUNTIF($L$13:$L$117,"Bloqueado"))&amp;")"</f>
        <v/>
      </c>
      <c r="Q8" s="25" t="n"/>
      <c r="R8" s="5" t="n"/>
      <c r="S8" s="6" t="n"/>
      <c r="T8" s="6" t="n"/>
      <c r="U8" s="6" t="n"/>
    </row>
    <row r="9" ht="14.25" customFormat="1" customHeight="1" s="61">
      <c r="A9" s="61" t="n"/>
      <c r="B9" s="7" t="n"/>
      <c r="C9" s="30">
        <f>(SUM(M:M))/(COUNT(M:M))</f>
        <v/>
      </c>
      <c r="D9" s="9" t="n"/>
      <c r="E9" s="9" t="n"/>
      <c r="F9" s="9" t="n"/>
      <c r="G9" s="10" t="n"/>
      <c r="H9" s="11" t="n"/>
      <c r="I9" s="12" t="inlineStr">
        <is>
          <t>Sem Priorização</t>
        </is>
      </c>
      <c r="J9" s="31">
        <f>K9/K4</f>
        <v/>
      </c>
      <c r="K9" s="20">
        <f>COUNTIF(Q:Q,0)</f>
        <v/>
      </c>
      <c r="L9" s="20" t="n"/>
      <c r="M9" s="16" t="n"/>
      <c r="N9" s="16" t="n"/>
      <c r="O9" s="16" t="n"/>
      <c r="P9" s="32" t="n"/>
      <c r="Q9" s="17" t="n"/>
      <c r="R9" s="5" t="n"/>
      <c r="S9" s="5" t="n"/>
      <c r="T9" s="5" t="n"/>
      <c r="U9" s="5" t="n"/>
    </row>
    <row r="10" ht="4.5" customFormat="1" customHeight="1" s="61">
      <c r="A10" s="61" t="n"/>
      <c r="B10" s="33" t="n"/>
      <c r="C10" s="34" t="n"/>
      <c r="D10" s="34" t="n"/>
      <c r="E10" s="34" t="n"/>
      <c r="F10" s="34" t="n"/>
      <c r="G10" s="35" t="n"/>
      <c r="H10" s="36" t="n"/>
      <c r="I10" s="36" t="n"/>
      <c r="J10" s="36" t="n"/>
      <c r="K10" s="36" t="n"/>
      <c r="L10" s="36" t="n"/>
      <c r="M10" s="65" t="n"/>
      <c r="N10" s="66" t="n"/>
      <c r="O10" s="66" t="n"/>
      <c r="P10" s="37" t="n"/>
      <c r="Q10" s="5" t="n"/>
      <c r="R10" s="5" t="n"/>
      <c r="S10" s="5" t="n"/>
      <c r="T10" s="5" t="n"/>
      <c r="U10" s="5" t="n"/>
    </row>
    <row r="11" ht="7.5" customFormat="1" customHeight="1" s="61">
      <c r="A11" s="61" t="n"/>
      <c r="B11" s="64" t="n"/>
      <c r="Q11" s="5" t="n"/>
      <c r="R11" s="5" t="n"/>
      <c r="S11" s="5" t="n"/>
      <c r="T11" s="5" t="n"/>
      <c r="U11" s="5" t="n"/>
    </row>
    <row r="12" ht="32.25" customFormat="1" customHeight="1" s="38">
      <c r="A12" s="39" t="n"/>
      <c r="B12" s="40" t="inlineStr">
        <is>
          <t>SEQ.</t>
        </is>
      </c>
      <c r="C12" s="40" t="inlineStr">
        <is>
          <t>Cenário de Teste</t>
        </is>
      </c>
      <c r="D12" s="40" t="inlineStr">
        <is>
          <t>Caso de Teste</t>
        </is>
      </c>
      <c r="E12" s="40" t="inlineStr">
        <is>
          <t>Resultado esperado</t>
        </is>
      </c>
      <c r="F12" s="40" t="inlineStr">
        <is>
          <t>Resultado obtido</t>
        </is>
      </c>
      <c r="G12" s="40" t="inlineStr">
        <is>
          <t>Responsável</t>
        </is>
      </c>
      <c r="H12" s="40" t="inlineStr">
        <is>
          <t>DATA DE INÍCIO</t>
        </is>
      </c>
      <c r="I12" s="40" t="inlineStr">
        <is>
          <t>PREVISÃO DE TÉRMINO</t>
        </is>
      </c>
      <c r="J12" s="40" t="inlineStr">
        <is>
          <t>NOVO PRAZO PREVISTO</t>
        </is>
      </c>
      <c r="K12" s="40" t="inlineStr">
        <is>
          <t>DATA DE CONCLUSÃO</t>
        </is>
      </c>
      <c r="L12" s="40" t="inlineStr">
        <is>
          <t>STATUS TESTE</t>
        </is>
      </c>
      <c r="M12" s="40" t="inlineStr">
        <is>
          <t>% CONCLUÍDO</t>
        </is>
      </c>
      <c r="N12" s="40" t="inlineStr">
        <is>
          <t>% PLANEJADO</t>
        </is>
      </c>
      <c r="O12" s="40" t="inlineStr">
        <is>
          <t>STATUS</t>
        </is>
      </c>
      <c r="P12" s="40" t="inlineStr">
        <is>
          <t>OBSERVAÇÕES</t>
        </is>
      </c>
      <c r="Q12" s="41" t="inlineStr">
        <is>
          <t>A</t>
        </is>
      </c>
      <c r="R12" s="41" t="inlineStr">
        <is>
          <t>M</t>
        </is>
      </c>
      <c r="S12" s="42" t="n"/>
      <c r="T12" s="42" t="n"/>
      <c r="U12" s="42" t="n"/>
    </row>
    <row r="13" hidden="1" ht="53.25" customFormat="1" customHeight="1" s="43">
      <c r="A13" s="39" t="n"/>
      <c r="B13" s="44" t="n">
        <v>1</v>
      </c>
      <c r="C13" s="45" t="inlineStr">
        <is>
          <t>Autenticação</t>
        </is>
      </c>
      <c r="D13" s="45" t="inlineStr">
        <is>
          <t>CT-AUTH-001 — Login com credenciais válidas</t>
        </is>
      </c>
      <c r="E13" s="44" t="inlineStr">
        <is>
          <t>Redirecionado para /admin/dashboard; token JWT armazenado no localStorage; nome do usuário exibido na interface</t>
        </is>
      </c>
      <c r="F13" s="44" t="inlineStr">
        <is>
          <t>Login com e-mail e senha válidos; redirecionado para /dashboard; token JWT armazenado no localStorage</t>
        </is>
      </c>
      <c r="G13" s="44" t="n"/>
      <c r="H13" s="46" t="n"/>
      <c r="I13" s="46" t="n"/>
      <c r="J13" s="46" t="n"/>
      <c r="K13" s="46" t="n">
        <v>46198</v>
      </c>
      <c r="L13" s="46" t="inlineStr">
        <is>
          <t>Aprovado</t>
        </is>
      </c>
      <c r="M13" s="47">
        <f>IF(K13&gt;0,100%,0%)</f>
        <v/>
      </c>
      <c r="N13" s="47">
        <f>IF(J13="",IF(I13&gt;0,IF(TODAY()&gt;=I13,1,IF(TODAY()&lt;H13,0,(TODAY()-H13)/(I13-H13))),""),IF(J13&gt;0,IF(TODAY()&gt;=J13,1,IF(TODAY()&lt;H13,0,(TODAY()-H13)/(J13-H13))),""))</f>
        <v/>
      </c>
      <c r="O13" s="48" t="inlineStr">
        <is>
          <t>n</t>
        </is>
      </c>
      <c r="P13" s="49" t="n"/>
      <c r="Q13" s="50">
        <f>IF(I13="",0,IF(K13&gt;1,1,IF(IF(J13="",I13,J13)&lt;TODAY(),2,IF(J13&gt;1,3,4))))</f>
        <v/>
      </c>
      <c r="R13" s="51">
        <f>IF(H13="",0,MONTH(H13))</f>
        <v/>
      </c>
      <c r="S13" s="52" t="n"/>
      <c r="T13" s="52" t="n"/>
      <c r="U13" s="52" t="n"/>
    </row>
    <row r="14" hidden="1" ht="40.5" customFormat="1" customHeight="1" s="43">
      <c r="A14" s="39" t="n"/>
      <c r="B14" s="44" t="n">
        <v>2</v>
      </c>
      <c r="C14" s="45" t="inlineStr">
        <is>
          <t>Autenticação</t>
        </is>
      </c>
      <c r="D14" s="45" t="inlineStr">
        <is>
          <t>CT-AUTH-002 — Login com senha incorreta</t>
        </is>
      </c>
      <c r="E14" s="44" t="inlineStr">
        <is>
          <t>Mensagem de erro 'Credenciais inválidas' exibida; usuário permanece na tela de login</t>
        </is>
      </c>
      <c r="F14" s="44" t="inlineStr">
        <is>
          <t>Mensagem de erro exibida ao inserir senha incorreta; usuário permanece na tela de login</t>
        </is>
      </c>
      <c r="G14" s="44" t="n"/>
      <c r="H14" s="46" t="n"/>
      <c r="I14" s="46" t="n"/>
      <c r="J14" s="46" t="n"/>
      <c r="K14" s="46" t="n">
        <v>46198</v>
      </c>
      <c r="L14" s="46" t="inlineStr">
        <is>
          <t>Aprovado</t>
        </is>
      </c>
      <c r="M14" s="47">
        <f>IF(K14&gt;0,100%,0%)</f>
        <v/>
      </c>
      <c r="N14" s="47">
        <f>IF(J14="",IF(I14&gt;0,IF(TODAY()&gt;=I14,1,IF(TODAY()&lt;H14,0,(TODAY()-H14)/(I14-H14))),""),IF(J14&gt;0,IF(TODAY()&gt;=J14,1,IF(TODAY()&lt;H14,0,(TODAY()-H14)/(J14-H14))),""))</f>
        <v/>
      </c>
      <c r="O14" s="48" t="inlineStr">
        <is>
          <t>n</t>
        </is>
      </c>
      <c r="P14" s="49" t="n"/>
      <c r="Q14" s="50">
        <f>IF(I14="",0,IF(K14&gt;1,1,IF(IF(J14="",I14,J14)&lt;TODAY(),2,IF(J14&gt;1,3,4))))</f>
        <v/>
      </c>
      <c r="R14" s="51">
        <f>IF(H14="",0,MONTH(H14))</f>
        <v/>
      </c>
      <c r="S14" s="52" t="n"/>
      <c r="T14" s="52" t="n"/>
      <c r="U14" s="52" t="n"/>
    </row>
    <row r="15" hidden="1" ht="53.25" customFormat="1" customHeight="1" s="43">
      <c r="A15" s="39" t="n"/>
      <c r="B15" s="44" t="n">
        <v>3</v>
      </c>
      <c r="C15" s="45" t="inlineStr">
        <is>
          <t>Autenticação</t>
        </is>
      </c>
      <c r="D15" s="45" t="inlineStr">
        <is>
          <t>CT-AUTH-003 — Login com e-mail não cadastrado</t>
        </is>
      </c>
      <c r="E15" s="44" t="inlineStr">
        <is>
          <t>Mensagem de erro genérica exibida; sem exposição de qual campo está errado</t>
        </is>
      </c>
      <c r="F15" s="44" t="inlineStr">
        <is>
          <t>Mensagem de erro genérica exibida ao inserir e-mail não cadastrado; sem exposição de qual campo está errado</t>
        </is>
      </c>
      <c r="G15" s="44" t="n"/>
      <c r="H15" s="46" t="n"/>
      <c r="I15" s="46" t="n"/>
      <c r="J15" s="46" t="n"/>
      <c r="K15" s="46" t="n">
        <v>46198</v>
      </c>
      <c r="L15" s="46" t="inlineStr">
        <is>
          <t>Aprovado</t>
        </is>
      </c>
      <c r="M15" s="47">
        <f>IF(K15&gt;0,100%,0%)</f>
        <v/>
      </c>
      <c r="N15" s="47">
        <f>IF(J15="",IF(I15&gt;0,IF(TODAY()&gt;=I15,1,IF(TODAY()&lt;H15,0,(TODAY()-H15)/(I15-H15))),""),IF(J15&gt;0,IF(TODAY()&gt;=J15,1,IF(TODAY()&lt;H15,0,(TODAY()-H15)/(J15-H15))),""))</f>
        <v/>
      </c>
      <c r="O15" s="48" t="inlineStr">
        <is>
          <t>n</t>
        </is>
      </c>
      <c r="P15" s="49" t="n"/>
      <c r="Q15" s="50">
        <f>IF(I15="",0,IF(K15&gt;1,1,IF(IF(J15="",I15,J15)&lt;TODAY(),2,IF(J15&gt;1,3,4))))</f>
        <v/>
      </c>
      <c r="R15" s="51">
        <f>IF(H15="",0,MONTH(H15))</f>
        <v/>
      </c>
      <c r="S15" s="52" t="n"/>
      <c r="T15" s="52" t="n"/>
      <c r="U15" s="52" t="n"/>
    </row>
    <row r="16" hidden="1" ht="53.25" customFormat="1" customHeight="1" s="43">
      <c r="A16" s="39" t="n"/>
      <c r="B16" s="44" t="n">
        <v>4</v>
      </c>
      <c r="C16" s="45" t="inlineStr">
        <is>
          <t>Autenticação</t>
        </is>
      </c>
      <c r="D16" s="45" t="inlineStr">
        <is>
          <t>CT-AUTH-004 — Acesso a rota protegida sem autenticação</t>
        </is>
      </c>
      <c r="E16" s="44" t="inlineStr">
        <is>
          <t>Redirecionado para /admin/login</t>
        </is>
      </c>
      <c r="F16" s="44" t="inlineStr">
        <is>
          <t>Redirecionamento automático para /login ao acessar rota protegida sem token; acesso bloqueado corretamente</t>
        </is>
      </c>
      <c r="G16" s="44" t="n"/>
      <c r="H16" s="46" t="n"/>
      <c r="I16" s="46" t="n"/>
      <c r="J16" s="46" t="n"/>
      <c r="K16" s="46" t="n">
        <v>46198</v>
      </c>
      <c r="L16" s="46" t="inlineStr">
        <is>
          <t>Aprovado</t>
        </is>
      </c>
      <c r="M16" s="47">
        <f>IF(K16&gt;0,100%,0%)</f>
        <v/>
      </c>
      <c r="N16" s="47">
        <f>IF(J16="",IF(I16&gt;0,IF(TODAY()&gt;=I16,1,IF(TODAY()&lt;H16,0,(TODAY()-H16)/(I16-H16))),""),IF(J16&gt;0,IF(TODAY()&gt;=J16,1,IF(TODAY()&lt;H16,0,(TODAY()-H16)/(J16-H16))),""))</f>
        <v/>
      </c>
      <c r="O16" s="48" t="inlineStr">
        <is>
          <t>n</t>
        </is>
      </c>
      <c r="P16" s="49" t="n"/>
      <c r="Q16" s="50">
        <f>IF(I16="",0,IF(K16&gt;1,1,IF(IF(J16="",I16,J16)&lt;TODAY(),2,IF(J16&gt;1,3,4))))</f>
        <v/>
      </c>
      <c r="R16" s="51">
        <f>IF(H16="",0,MONTH(H16))</f>
        <v/>
      </c>
      <c r="S16" s="52" t="n"/>
      <c r="T16" s="52" t="n"/>
      <c r="U16" s="52" t="n"/>
    </row>
    <row r="17" hidden="1" ht="53.25" customFormat="1" customHeight="1" s="43">
      <c r="A17" s="39" t="n"/>
      <c r="B17" s="44" t="n">
        <v>5</v>
      </c>
      <c r="C17" s="45" t="inlineStr">
        <is>
          <t>Autenticação</t>
        </is>
      </c>
      <c r="D17" s="45" t="inlineStr">
        <is>
          <t>CT-AUTH-005 — Logout</t>
        </is>
      </c>
      <c r="E17" s="44" t="inlineStr">
        <is>
          <t>Tokens removidos do localStorage; redirecionado para /admin/login; rota protegida redireciona para login</t>
        </is>
      </c>
      <c r="F17" s="44" t="inlineStr">
        <is>
          <t>Botão 'Sair' clicado; redirecionado para /login; localStorage limpo (authToken e user removidos)</t>
        </is>
      </c>
      <c r="G17" s="44" t="n"/>
      <c r="H17" s="46" t="n"/>
      <c r="I17" s="46" t="n"/>
      <c r="J17" s="46" t="n"/>
      <c r="K17" s="46" t="n">
        <v>46198</v>
      </c>
      <c r="L17" s="46" t="inlineStr">
        <is>
          <t>Aprovado</t>
        </is>
      </c>
      <c r="M17" s="47">
        <f>IF(K17&gt;0,100%,0%)</f>
        <v/>
      </c>
      <c r="N17" s="47">
        <f>IF(J17="",IF(I17&gt;0,IF(TODAY()&gt;=I17,1,IF(TODAY()&lt;H17,0,(TODAY()-H17)/(I17-H17))),""),IF(J17&gt;0,IF(TODAY()&gt;=J17,1,IF(TODAY()&lt;H17,0,(TODAY()-H17)/(J17-H17))),""))</f>
        <v/>
      </c>
      <c r="O17" s="48" t="inlineStr">
        <is>
          <t>n</t>
        </is>
      </c>
      <c r="P17" s="49" t="n"/>
      <c r="Q17" s="50">
        <f>IF(I17="",0,IF(K17&gt;1,1,IF(IF(J17="",I17,J17)&lt;TODAY(),2,IF(J17&gt;1,3,4))))</f>
        <v/>
      </c>
      <c r="R17" s="51">
        <f>IF(H17="",0,MONTH(H17))</f>
        <v/>
      </c>
      <c r="S17" s="52" t="n"/>
      <c r="T17" s="52" t="n"/>
      <c r="U17" s="52" t="n"/>
    </row>
    <row r="18" hidden="1" ht="53.25" customFormat="1" customHeight="1" s="43">
      <c r="A18" s="39" t="n"/>
      <c r="B18" s="44" t="n">
        <v>6</v>
      </c>
      <c r="C18" s="45" t="inlineStr">
        <is>
          <t>Autenticação</t>
        </is>
      </c>
      <c r="D18" s="45" t="inlineStr">
        <is>
          <t>CT-AUTH-006 — Renovação automática de token (Refresh Token)</t>
        </is>
      </c>
      <c r="E18" s="44" t="inlineStr">
        <is>
          <t>Aplicação renova o token automaticamente sem novo login; operação original concluída com sucesso</t>
        </is>
      </c>
      <c r="F18" s="44" t="inlineStr">
        <is>
          <t>BLOQUEADO — funcionalidade de refresh token não está exposta na UI do AdminDashboard</t>
        </is>
      </c>
      <c r="G18" s="44" t="n"/>
      <c r="H18" s="46" t="n"/>
      <c r="I18" s="46" t="n"/>
      <c r="J18" s="46" t="n"/>
      <c r="K18" s="46" t="n">
        <v>46198</v>
      </c>
      <c r="L18" s="46" t="inlineStr">
        <is>
          <t>Bloqueado</t>
        </is>
      </c>
      <c r="M18" s="47">
        <f>IF(K18&gt;0,100%,0%)</f>
        <v/>
      </c>
      <c r="N18" s="47">
        <f>IF(J18="",IF(I18&gt;0,IF(TODAY()&gt;=I18,1,IF(TODAY()&lt;H18,0,(TODAY()-H18)/(I18-H18))),""),IF(J18&gt;0,IF(TODAY()&gt;=J18,1,IF(TODAY()&lt;H18,0,(TODAY()-H18)/(J18-H18))),""))</f>
        <v/>
      </c>
      <c r="O18" s="48" t="inlineStr">
        <is>
          <t>n</t>
        </is>
      </c>
      <c r="P18" s="49" t="n"/>
      <c r="Q18" s="50">
        <f>IF(I18="",0,IF(K18&gt;1,1,IF(IF(J18="",I18,J18)&lt;TODAY(),2,IF(J18&gt;1,3,4))))</f>
        <v/>
      </c>
      <c r="R18" s="51">
        <f>IF(H18="",0,MONTH(H18))</f>
        <v/>
      </c>
      <c r="S18" s="52" t="n"/>
      <c r="T18" s="52" t="n"/>
      <c r="U18" s="52" t="n"/>
    </row>
    <row r="19" hidden="1" ht="53.25" customFormat="1" customHeight="1" s="43">
      <c r="A19" s="39" t="n"/>
      <c r="B19" s="44" t="n">
        <v>7</v>
      </c>
      <c r="C19" s="45" t="inlineStr">
        <is>
          <t>Dashboard</t>
        </is>
      </c>
      <c r="D19" s="45" t="inlineStr">
        <is>
          <t>CT-DASH-001 — Carregamento dos indicadores</t>
        </is>
      </c>
      <c r="E19" s="44" t="inlineStr">
        <is>
          <t>Cards exibem corretamente os totais de eventos, atendimentos e membros ativos; sem erros na tela</t>
        </is>
      </c>
      <c r="F19" s="44" t="inlineStr">
        <is>
          <t>Dashboard carregado com indicadores: membros ativos, eventos, mensagens não lidas e próximos atendimentos</t>
        </is>
      </c>
      <c r="G19" s="44" t="n"/>
      <c r="H19" s="46" t="n"/>
      <c r="I19" s="46" t="n"/>
      <c r="J19" s="46" t="n"/>
      <c r="K19" s="46" t="n">
        <v>46198</v>
      </c>
      <c r="L19" s="46" t="inlineStr">
        <is>
          <t>Aprovado</t>
        </is>
      </c>
      <c r="M19" s="47">
        <f>IF(K19&gt;0,100%,0%)</f>
        <v/>
      </c>
      <c r="N19" s="47">
        <f>IF(J19="",IF(I19&gt;0,IF(TODAY()&gt;=I19,1,IF(TODAY()&lt;H19,0,(TODAY()-H19)/(I19-H19))),""),IF(J19&gt;0,IF(TODAY()&gt;=J19,1,IF(TODAY()&lt;H19,0,(TODAY()-H19)/(J19-H19))),""))</f>
        <v/>
      </c>
      <c r="O19" s="48" t="inlineStr">
        <is>
          <t>n</t>
        </is>
      </c>
      <c r="P19" s="49" t="n"/>
      <c r="Q19" s="50">
        <f>IF(I19="",0,IF(K19&gt;1,1,IF(IF(J19="",I19,J19)&lt;TODAY(),2,IF(J19&gt;1,3,4))))</f>
        <v/>
      </c>
      <c r="R19" s="51">
        <f>IF(H19="",0,MONTH(H19))</f>
        <v/>
      </c>
      <c r="S19" s="52" t="n"/>
      <c r="T19" s="52" t="n"/>
      <c r="U19" s="52" t="n"/>
    </row>
    <row r="20" hidden="1" ht="40.5" customHeight="1" s="53">
      <c r="A20" s="39" t="n"/>
      <c r="B20" s="44" t="n">
        <v>8</v>
      </c>
      <c r="C20" s="45" t="inlineStr">
        <is>
          <t>Dashboard</t>
        </is>
      </c>
      <c r="D20" s="45" t="inlineStr">
        <is>
          <t>CT-DASH-002 — Log de atividades recentes</t>
        </is>
      </c>
      <c r="E20" s="44" t="inlineStr">
        <is>
          <t>Atividades listadas em ordem decrescente de data; cada item exibe entidade, ação e timestamp</t>
        </is>
      </c>
      <c r="F20" s="44" t="inlineStr">
        <is>
          <t>Log de atividades recentes exibido com histórico de ações do sistema</t>
        </is>
      </c>
      <c r="G20" s="44" t="n"/>
      <c r="H20" s="46" t="n"/>
      <c r="I20" s="46" t="n"/>
      <c r="J20" s="46" t="n"/>
      <c r="K20" s="46" t="n">
        <v>46198</v>
      </c>
      <c r="L20" s="46" t="inlineStr">
        <is>
          <t>Aprovado</t>
        </is>
      </c>
      <c r="M20" s="47">
        <f>IF(K20&gt;0,100%,0%)</f>
        <v/>
      </c>
      <c r="N20" s="47">
        <f>IF(J20="",IF(I20&gt;0,IF(TODAY()&gt;=I20,1,IF(TODAY()&lt;H20,0,(TODAY()-H20)/(I20-H20))),""),IF(J20&gt;0,IF(TODAY()&gt;=J20,1,IF(TODAY()&lt;H20,0,(TODAY()-H20)/(J20-H20))),""))</f>
        <v/>
      </c>
      <c r="O20" s="48" t="inlineStr">
        <is>
          <t>n</t>
        </is>
      </c>
      <c r="P20" s="49" t="n"/>
      <c r="Q20" s="50">
        <f>IF(I20="",0,IF(K20&gt;1,1,IF(IF(J20="",I20,J20)&lt;TODAY(),2,IF(J20&gt;1,3,4))))</f>
        <v/>
      </c>
      <c r="R20" s="51">
        <f>IF(H20="",0,MONTH(H20))</f>
        <v/>
      </c>
      <c r="S20" s="52" t="n"/>
      <c r="T20" s="52" t="n"/>
      <c r="U20" s="52" t="n"/>
    </row>
    <row r="21" ht="40.5" customHeight="1" s="53">
      <c r="A21" s="39" t="n"/>
      <c r="B21" s="44" t="n">
        <v>9</v>
      </c>
      <c r="C21" s="45" t="inlineStr">
        <is>
          <t>Dashboard</t>
        </is>
      </c>
      <c r="D21" s="45" t="inlineStr">
        <is>
          <t>CT-DASH-003 — Paginação do log de atividades</t>
        </is>
      </c>
      <c r="E21" s="44" t="inlineStr">
        <is>
          <t>Novos registros carregados e acumulados na lista; botão desaparece quando não há mais páginas</t>
        </is>
      </c>
      <c r="F21" s="44" t="inlineStr">
        <is>
          <t>Paginação do log de atividades não encontrada; listagem sem controles de paginação visíveis</t>
        </is>
      </c>
      <c r="G21" s="44" t="n"/>
      <c r="H21" s="46" t="n"/>
      <c r="I21" s="46" t="n"/>
      <c r="J21" s="46" t="n"/>
      <c r="K21" s="46" t="n">
        <v>46198</v>
      </c>
      <c r="L21" s="46" t="inlineStr">
        <is>
          <t>Reprovado</t>
        </is>
      </c>
      <c r="M21" s="47">
        <f>IF(K21&gt;0,100%,0%)</f>
        <v/>
      </c>
      <c r="N21" s="47">
        <f>IF(J21="",IF(I21&gt;0,IF(TODAY()&gt;=I21,1,IF(TODAY()&lt;H21,0,(TODAY()-H21)/(I21-H21))),""),IF(J21&gt;0,IF(TODAY()&gt;=J21,1,IF(TODAY()&lt;H21,0,(TODAY()-H21)/(J21-H21))),""))</f>
        <v/>
      </c>
      <c r="O21" s="48" t="inlineStr">
        <is>
          <t>n</t>
        </is>
      </c>
      <c r="P21" s="49" t="n"/>
      <c r="Q21" s="50">
        <f>IF(I21="",0,IF(K21&gt;1,1,IF(IF(J21="",I21,J21)&lt;TODAY(),2,IF(J21&gt;1,3,4))))</f>
        <v/>
      </c>
      <c r="R21" s="51">
        <f>IF(H21="",0,MONTH(H21))</f>
        <v/>
      </c>
      <c r="S21" s="52" t="n"/>
      <c r="T21" s="52" t="n"/>
      <c r="U21" s="52" t="n"/>
    </row>
    <row r="22" hidden="1" ht="40.5" customHeight="1" s="53">
      <c r="A22" s="39" t="n"/>
      <c r="B22" s="44" t="n">
        <v>10</v>
      </c>
      <c r="C22" s="45" t="inlineStr">
        <is>
          <t>Eventos</t>
        </is>
      </c>
      <c r="D22" s="45" t="inlineStr">
        <is>
          <t>CT-EVT-001 — Listar eventos</t>
        </is>
      </c>
      <c r="E22" s="44" t="inlineStr">
        <is>
          <t>Grade exibe eventos paginados (20 por página); colunas Título, Tipo, Data, Ativo visíveis</t>
        </is>
      </c>
      <c r="F22" s="44" t="inlineStr">
        <is>
          <t>Lista de eventos exibida com colunas Título, Tipo, Data, Status e paginação funcional</t>
        </is>
      </c>
      <c r="G22" s="44" t="n"/>
      <c r="H22" s="46" t="n"/>
      <c r="I22" s="46" t="n"/>
      <c r="J22" s="46" t="n"/>
      <c r="K22" s="46" t="n">
        <v>46198</v>
      </c>
      <c r="L22" s="46" t="inlineStr">
        <is>
          <t>Aprovado</t>
        </is>
      </c>
      <c r="M22" s="47">
        <f>IF(K22&gt;0,100%,0%)</f>
        <v/>
      </c>
      <c r="N22" s="47">
        <f>IF(J22="",IF(I22&gt;0,IF(TODAY()&gt;=I22,1,IF(TODAY()&lt;H22,0,(TODAY()-H22)/(I22-H22))),""),IF(J22&gt;0,IF(TODAY()&gt;=J22,1,IF(TODAY()&lt;H22,0,(TODAY()-H22)/(J22-H22))),""))</f>
        <v/>
      </c>
      <c r="O22" s="48" t="inlineStr">
        <is>
          <t>n</t>
        </is>
      </c>
      <c r="P22" s="49" t="n"/>
      <c r="Q22" s="50">
        <f>IF(I22="",0,IF(K22&gt;1,1,IF(IF(J22="",I22,J22)&lt;TODAY(),2,IF(J22&gt;1,3,4))))</f>
        <v/>
      </c>
      <c r="R22" s="51">
        <f>IF(H22="",0,MONTH(H22))</f>
        <v/>
      </c>
      <c r="S22" s="52" t="n"/>
      <c r="T22" s="52" t="n"/>
      <c r="U22" s="52" t="n"/>
    </row>
    <row r="23" hidden="1" ht="40.5" customHeight="1" s="53">
      <c r="A23" s="39" t="n"/>
      <c r="B23" s="44" t="n">
        <v>11</v>
      </c>
      <c r="C23" s="45" t="inlineStr">
        <is>
          <t>Eventos</t>
        </is>
      </c>
      <c r="D23" s="45" t="inlineStr">
        <is>
          <t>CT-EVT-002 — Filtrar eventos por texto</t>
        </is>
      </c>
      <c r="E23" s="44" t="inlineStr">
        <is>
          <t>Lista atualizada exibindo apenas eventos cujo título contenha o texto buscado</t>
        </is>
      </c>
      <c r="F23" s="44" t="inlineStr">
        <is>
          <t>Filtro por texto funcional; lista atualiza ao digitar no campo de busca</t>
        </is>
      </c>
      <c r="G23" s="44" t="n"/>
      <c r="H23" s="46" t="n"/>
      <c r="I23" s="46" t="n"/>
      <c r="J23" s="46" t="n"/>
      <c r="K23" s="46" t="n">
        <v>46198</v>
      </c>
      <c r="L23" s="46" t="inlineStr">
        <is>
          <t>Aprovado</t>
        </is>
      </c>
      <c r="M23" s="47">
        <f>IF(K23&gt;0,100%,0%)</f>
        <v/>
      </c>
      <c r="N23" s="47">
        <f>IF(J23="",IF(I23&gt;0,IF(TODAY()&gt;=I23,1,IF(TODAY()&lt;H23,0,(TODAY()-H23)/(I23-H23))),""),IF(J23&gt;0,IF(TODAY()&gt;=J23,1,IF(TODAY()&lt;H23,0,(TODAY()-H23)/(J23-H23))),""))</f>
        <v/>
      </c>
      <c r="O23" s="48" t="inlineStr">
        <is>
          <t>n</t>
        </is>
      </c>
      <c r="P23" s="49" t="n"/>
      <c r="Q23" s="50">
        <f>IF(I23="",0,IF(K23&gt;1,1,IF(IF(J23="",I23,J23)&lt;TODAY(),2,IF(J23&gt;1,3,4))))</f>
        <v/>
      </c>
      <c r="R23" s="51">
        <f>IF(H23="",0,MONTH(H23))</f>
        <v/>
      </c>
      <c r="S23" s="52" t="n"/>
      <c r="T23" s="52" t="n"/>
      <c r="U23" s="52" t="n"/>
    </row>
    <row r="24" hidden="1" ht="40.5" customHeight="1" s="53">
      <c r="A24" s="39" t="n"/>
      <c r="B24" s="44" t="n">
        <v>12</v>
      </c>
      <c r="C24" s="45" t="inlineStr">
        <is>
          <t>Eventos</t>
        </is>
      </c>
      <c r="D24" s="45" t="inlineStr">
        <is>
          <t>CT-EVT-003 — Filtrar eventos por tipo</t>
        </is>
      </c>
      <c r="E24" s="44" t="inlineStr">
        <is>
          <t>Lista exibe somente eventos do tipo selecionado</t>
        </is>
      </c>
      <c r="F24" s="44" t="inlineStr">
        <is>
          <t>Filtro por tipo funcional; exibe somente eventos do tipo selecionado</t>
        </is>
      </c>
      <c r="G24" s="44" t="n"/>
      <c r="H24" s="46" t="n"/>
      <c r="I24" s="46" t="n"/>
      <c r="J24" s="46" t="n"/>
      <c r="K24" s="46" t="n">
        <v>46198</v>
      </c>
      <c r="L24" s="46" t="inlineStr">
        <is>
          <t>Aprovado</t>
        </is>
      </c>
      <c r="M24" s="47">
        <f>IF(K24&gt;0,100%,0%)</f>
        <v/>
      </c>
      <c r="N24" s="47">
        <f>IF(J24="",IF(I24&gt;0,IF(TODAY()&gt;=I24,1,IF(TODAY()&lt;H24,0,(TODAY()-H24)/(I24-H24))),""),IF(J24&gt;0,IF(TODAY()&gt;=J24,1,IF(TODAY()&lt;H24,0,(TODAY()-H24)/(J24-H24))),""))</f>
        <v/>
      </c>
      <c r="O24" s="48" t="inlineStr">
        <is>
          <t>n</t>
        </is>
      </c>
      <c r="P24" s="49" t="n"/>
      <c r="Q24" s="50">
        <f>IF(I24="",0,IF(K24&gt;1,1,IF(IF(J24="",I24,J24)&lt;TODAY(),2,IF(J24&gt;1,3,4))))</f>
        <v/>
      </c>
      <c r="R24" s="51">
        <f>IF(H24="",0,MONTH(H24))</f>
        <v/>
      </c>
      <c r="S24" s="52" t="n"/>
      <c r="T24" s="52" t="n"/>
      <c r="U24" s="52" t="n"/>
    </row>
    <row r="25" ht="40.5" customHeight="1" s="53">
      <c r="A25" s="39" t="n"/>
      <c r="B25" s="44" t="n">
        <v>13</v>
      </c>
      <c r="C25" s="45" t="inlineStr">
        <is>
          <t>Eventos</t>
        </is>
      </c>
      <c r="D25" s="45" t="inlineStr">
        <is>
          <t>CT-EVT-004 — Filtrar eventos por período</t>
        </is>
      </c>
      <c r="E25" s="44" t="inlineStr">
        <is>
          <t>Lista exibe somente eventos dentro do intervalo de datas</t>
        </is>
      </c>
      <c r="F25" s="44" t="inlineStr">
        <is>
          <t>Filtro por período não funcional; campo de data não filtra a lista de eventos</t>
        </is>
      </c>
      <c r="G25" s="44" t="n"/>
      <c r="H25" s="46" t="n"/>
      <c r="I25" s="46" t="n"/>
      <c r="J25" s="46" t="n"/>
      <c r="K25" s="46" t="n">
        <v>46198</v>
      </c>
      <c r="L25" s="46" t="inlineStr">
        <is>
          <t>Reprovado</t>
        </is>
      </c>
      <c r="M25" s="47">
        <f>IF(K25&gt;0,100%,0%)</f>
        <v/>
      </c>
      <c r="N25" s="47">
        <f>IF(J25="",IF(I25&gt;0,IF(TODAY()&gt;=I25,1,IF(TODAY()&lt;H25,0,(TODAY()-H25)/(I25-H25))),""),IF(J25&gt;0,IF(TODAY()&gt;=J25,1,IF(TODAY()&lt;H25,0,(TODAY()-H25)/(J25-H25))),""))</f>
        <v/>
      </c>
      <c r="O25" s="48" t="inlineStr">
        <is>
          <t>n</t>
        </is>
      </c>
      <c r="P25" s="49" t="n"/>
      <c r="Q25" s="50">
        <f>IF(I25="",0,IF(K25&gt;1,1,IF(IF(J25="",I25,J25)&lt;TODAY(),2,IF(J25&gt;1,3,4))))</f>
        <v/>
      </c>
      <c r="R25" s="51">
        <f>IF(H25="",0,MONTH(H25))</f>
        <v/>
      </c>
      <c r="S25" s="52" t="n"/>
      <c r="T25" s="52" t="n"/>
      <c r="U25" s="52" t="n"/>
    </row>
    <row r="26" hidden="1" ht="40.5" customHeight="1" s="53">
      <c r="A26" s="39" t="n"/>
      <c r="B26" s="44" t="n">
        <v>14</v>
      </c>
      <c r="C26" s="45" t="inlineStr">
        <is>
          <t>Eventos</t>
        </is>
      </c>
      <c r="D26" s="45" t="inlineStr">
        <is>
          <t>CT-EVT-005 — Criar evento com dados válidos</t>
        </is>
      </c>
      <c r="E26" s="44" t="inlineStr">
        <is>
          <t>Modal fecha; snackbar de sucesso exibida; novo evento aparece na lista; log de atividade registrado</t>
        </is>
      </c>
      <c r="F26" s="44" t="inlineStr">
        <is>
          <t>Evento criado com título, descrição, data e tipo; aparece na lista após criação</t>
        </is>
      </c>
      <c r="G26" s="44" t="n"/>
      <c r="H26" s="46" t="n"/>
      <c r="I26" s="46" t="n"/>
      <c r="J26" s="46" t="n"/>
      <c r="K26" s="46" t="n">
        <v>46198</v>
      </c>
      <c r="L26" s="46" t="inlineStr">
        <is>
          <t>Aprovado</t>
        </is>
      </c>
      <c r="M26" s="47">
        <f>IF(K26&gt;0,100%,0%)</f>
        <v/>
      </c>
      <c r="N26" s="47">
        <f>IF(J26="",IF(I26&gt;0,IF(TODAY()&gt;=I26,1,IF(TODAY()&lt;H26,0,(TODAY()-H26)/(I26-H26))),""),IF(J26&gt;0,IF(TODAY()&gt;=J26,1,IF(TODAY()&lt;H26,0,(TODAY()-H26)/(J26-H26))),""))</f>
        <v/>
      </c>
      <c r="O26" s="48" t="inlineStr">
        <is>
          <t>n</t>
        </is>
      </c>
      <c r="P26" s="49" t="n"/>
      <c r="Q26" s="50">
        <f>IF(I26="",0,IF(K26&gt;1,1,IF(IF(J26="",I26,J26)&lt;TODAY(),2,IF(J26&gt;1,3,4))))</f>
        <v/>
      </c>
      <c r="R26" s="51">
        <f>IF(H26="",0,MONTH(H26))</f>
        <v/>
      </c>
      <c r="S26" s="52" t="n"/>
      <c r="T26" s="52" t="n"/>
      <c r="U26" s="52" t="n"/>
    </row>
    <row r="27" hidden="1" ht="40.5" customHeight="1" s="53">
      <c r="A27" s="39" t="n"/>
      <c r="B27" s="44" t="n">
        <v>15</v>
      </c>
      <c r="C27" s="45" t="inlineStr">
        <is>
          <t>Eventos</t>
        </is>
      </c>
      <c r="D27" s="45" t="inlineStr">
        <is>
          <t>CT-EVT-006 — Criar evento sem título</t>
        </is>
      </c>
      <c r="E27" s="44" t="inlineStr">
        <is>
          <t>Campo Título destacado com mensagem de erro; evento não criado</t>
        </is>
      </c>
      <c r="F27" s="44" t="inlineStr">
        <is>
          <t>Erro 'Título é obrigatório' exibido ao tentar criar evento sem título; formulário não fecha</t>
        </is>
      </c>
      <c r="G27" s="44" t="n"/>
      <c r="H27" s="46" t="n"/>
      <c r="I27" s="46" t="n"/>
      <c r="J27" s="46" t="n"/>
      <c r="K27" s="46" t="n">
        <v>46198</v>
      </c>
      <c r="L27" s="46" t="inlineStr">
        <is>
          <t>Aprovado</t>
        </is>
      </c>
      <c r="M27" s="47">
        <f>IF(K27&gt;0,100%,0%)</f>
        <v/>
      </c>
      <c r="N27" s="47">
        <f>IF(J27="",IF(I27&gt;0,IF(TODAY()&gt;=I27,1,IF(TODAY()&lt;H27,0,(TODAY()-H27)/(I27-H27))),""),IF(J27&gt;0,IF(TODAY()&gt;=J27,1,IF(TODAY()&lt;H27,0,(TODAY()-H27)/(J27-H27))),""))</f>
        <v/>
      </c>
      <c r="O27" s="48" t="inlineStr">
        <is>
          <t>n</t>
        </is>
      </c>
      <c r="P27" s="49" t="n"/>
      <c r="Q27" s="50">
        <f>IF(I27="",0,IF(K27&gt;1,1,IF(IF(J27="",I27,J27)&lt;TODAY(),2,IF(J27&gt;1,3,4))))</f>
        <v/>
      </c>
      <c r="R27" s="51">
        <f>IF(H27="",0,MONTH(H27))</f>
        <v/>
      </c>
      <c r="S27" s="52" t="n"/>
      <c r="T27" s="52" t="n"/>
      <c r="U27" s="52" t="n"/>
    </row>
    <row r="28" ht="53.25" customHeight="1" s="53">
      <c r="A28" s="39" t="n"/>
      <c r="B28" s="44" t="n">
        <v>16</v>
      </c>
      <c r="C28" s="45" t="inlineStr">
        <is>
          <t>Eventos</t>
        </is>
      </c>
      <c r="D28" s="45" t="inlineStr">
        <is>
          <t>CT-EVT-007 — Criar evento sem descrição</t>
        </is>
      </c>
      <c r="E28" s="44" t="inlineStr">
        <is>
          <t>Campo Descrição destacado com mensagem de erro; evento não criado</t>
        </is>
      </c>
      <c r="F28" s="44" t="inlineStr">
        <is>
          <t>Formulário fecha sem exibir erro ao omitir descrição; campo descrição não validado como obrigatório</t>
        </is>
      </c>
      <c r="G28" s="44" t="n"/>
      <c r="H28" s="46" t="n"/>
      <c r="I28" s="46" t="n"/>
      <c r="J28" s="46" t="n"/>
      <c r="K28" s="46" t="n">
        <v>46198</v>
      </c>
      <c r="L28" s="46" t="inlineStr">
        <is>
          <t>Reprovado</t>
        </is>
      </c>
      <c r="M28" s="47">
        <f>IF(K28&gt;0,100%,0%)</f>
        <v/>
      </c>
      <c r="N28" s="47">
        <f>IF(J28="",IF(I28&gt;0,IF(TODAY()&gt;=I28,1,IF(TODAY()&lt;H28,0,(TODAY()-H28)/(I28-H28))),""),IF(J28&gt;0,IF(TODAY()&gt;=J28,1,IF(TODAY()&lt;H28,0,(TODAY()-H28)/(J28-H28))),""))</f>
        <v/>
      </c>
      <c r="O28" s="48" t="inlineStr">
        <is>
          <t>n</t>
        </is>
      </c>
      <c r="P28" s="49" t="n"/>
      <c r="Q28" s="50">
        <f>IF(I28="",0,IF(K28&gt;1,1,IF(IF(J28="",I28,J28)&lt;TODAY(),2,IF(J28&gt;1,3,4))))</f>
        <v/>
      </c>
      <c r="R28" s="51">
        <f>IF(H28="",0,MONTH(H28))</f>
        <v/>
      </c>
      <c r="S28" s="52" t="n"/>
      <c r="T28" s="52" t="n"/>
      <c r="U28" s="52" t="n"/>
    </row>
    <row r="29" hidden="1" ht="27" customHeight="1" s="53">
      <c r="A29" s="39" t="n"/>
      <c r="B29" s="44" t="n">
        <v>17</v>
      </c>
      <c r="C29" s="45" t="inlineStr">
        <is>
          <t>Eventos</t>
        </is>
      </c>
      <c r="D29" s="45" t="inlineStr">
        <is>
          <t>CT-EVT-008 — Criar evento sem data</t>
        </is>
      </c>
      <c r="E29" s="44" t="inlineStr">
        <is>
          <t>Campo Data destacado com mensagem de erro; evento não criado</t>
        </is>
      </c>
      <c r="F29" s="44" t="inlineStr">
        <is>
          <t>Erro de validação exibido ao tentar criar evento sem data</t>
        </is>
      </c>
      <c r="G29" s="44" t="n"/>
      <c r="H29" s="46" t="n"/>
      <c r="I29" s="46" t="n"/>
      <c r="J29" s="46" t="n"/>
      <c r="K29" s="46" t="n">
        <v>46198</v>
      </c>
      <c r="L29" s="46" t="inlineStr">
        <is>
          <t>Aprovado</t>
        </is>
      </c>
      <c r="M29" s="47">
        <f>IF(K29&gt;0,100%,0%)</f>
        <v/>
      </c>
      <c r="N29" s="47">
        <f>IF(J29="",IF(I29&gt;0,IF(TODAY()&gt;=I29,1,IF(TODAY()&lt;H29,0,(TODAY()-H29)/(I29-H29))),""),IF(J29&gt;0,IF(TODAY()&gt;=J29,1,IF(TODAY()&lt;H29,0,(TODAY()-H29)/(J29-H29))),""))</f>
        <v/>
      </c>
      <c r="O29" s="48" t="inlineStr">
        <is>
          <t>n</t>
        </is>
      </c>
      <c r="P29" s="49" t="n"/>
      <c r="Q29" s="50">
        <f>IF(I29="",0,IF(K29&gt;1,1,IF(IF(J29="",I29,J29)&lt;TODAY(),2,IF(J29&gt;1,3,4))))</f>
        <v/>
      </c>
      <c r="R29" s="51">
        <f>IF(H29="",0,MONTH(H29))</f>
        <v/>
      </c>
      <c r="S29" s="52" t="n"/>
      <c r="T29" s="52" t="n"/>
      <c r="U29" s="52" t="n"/>
    </row>
    <row r="30" ht="40.5" customHeight="1" s="53">
      <c r="A30" s="39" t="n"/>
      <c r="B30" s="44" t="n">
        <v>18</v>
      </c>
      <c r="C30" s="45" t="inlineStr">
        <is>
          <t>Eventos</t>
        </is>
      </c>
      <c r="D30" s="45" t="inlineStr">
        <is>
          <t>CT-EVT-009 — Criar evento com título acima do limite</t>
        </is>
      </c>
      <c r="E30" s="44" t="inlineStr">
        <is>
          <t>Erro de validação 'O título não pode exceder 200 caracteres'</t>
        </is>
      </c>
      <c r="F30" s="44" t="inlineStr">
        <is>
          <t>Formulário fecha silenciosamente ao exceder limite de título; sem mensagem de erro exibida</t>
        </is>
      </c>
      <c r="G30" s="44" t="n"/>
      <c r="H30" s="46" t="n"/>
      <c r="I30" s="46" t="n"/>
      <c r="J30" s="46" t="n"/>
      <c r="K30" s="46" t="n">
        <v>46198</v>
      </c>
      <c r="L30" s="46" t="inlineStr">
        <is>
          <t>Reprovado</t>
        </is>
      </c>
      <c r="M30" s="47">
        <f>IF(K30&gt;0,100%,0%)</f>
        <v/>
      </c>
      <c r="N30" s="47">
        <f>IF(J30="",IF(I30&gt;0,IF(TODAY()&gt;=I30,1,IF(TODAY()&lt;H30,0,(TODAY()-H30)/(I30-H30))),""),IF(J30&gt;0,IF(TODAY()&gt;=J30,1,IF(TODAY()&lt;H30,0,(TODAY()-H30)/(J30-H30))),""))</f>
        <v/>
      </c>
      <c r="O30" s="48" t="inlineStr">
        <is>
          <t>n</t>
        </is>
      </c>
      <c r="P30" s="49" t="n"/>
      <c r="Q30" s="50">
        <f>IF(I30="",0,IF(K30&gt;1,1,IF(IF(J30="",I30,J30)&lt;TODAY(),2,IF(J30&gt;1,3,4))))</f>
        <v/>
      </c>
      <c r="R30" s="51">
        <f>IF(H30="",0,MONTH(H30))</f>
        <v/>
      </c>
      <c r="S30" s="52" t="n"/>
      <c r="T30" s="52" t="n"/>
      <c r="U30" s="52" t="n"/>
    </row>
    <row r="31" ht="40.5" customHeight="1" s="53">
      <c r="A31" s="39" t="n"/>
      <c r="B31" s="44" t="n">
        <v>19</v>
      </c>
      <c r="C31" s="45" t="inlineStr">
        <is>
          <t>Eventos</t>
        </is>
      </c>
      <c r="D31" s="45" t="inlineStr">
        <is>
          <t>CT-EVT-010 — Criar evento com descrição acima do limite</t>
        </is>
      </c>
      <c r="E31" s="44" t="inlineStr">
        <is>
          <t>Erro de validação 'A descrição não pode exceder 2000 caracteres'</t>
        </is>
      </c>
      <c r="F31" s="44" t="inlineStr">
        <is>
          <t>Formulário fecha silenciosamente ao exceder limite de descrição; sem mensagem de erro exibida</t>
        </is>
      </c>
      <c r="G31" s="44" t="n"/>
      <c r="H31" s="46" t="n"/>
      <c r="I31" s="46" t="n"/>
      <c r="J31" s="46" t="n"/>
      <c r="K31" s="46" t="n">
        <v>46198</v>
      </c>
      <c r="L31" s="46" t="inlineStr">
        <is>
          <t>Reprovado</t>
        </is>
      </c>
      <c r="M31" s="47">
        <f>IF(K31&gt;0,100%,0%)</f>
        <v/>
      </c>
      <c r="N31" s="47">
        <f>IF(J31="",IF(I31&gt;0,IF(TODAY()&gt;=I31,1,IF(TODAY()&lt;H31,0,(TODAY()-H31)/(I31-H31))),""),IF(J31&gt;0,IF(TODAY()&gt;=J31,1,IF(TODAY()&lt;H31,0,(TODAY()-H31)/(J31-H31))),""))</f>
        <v/>
      </c>
      <c r="O31" s="48" t="inlineStr">
        <is>
          <t>n</t>
        </is>
      </c>
      <c r="P31" s="49" t="n"/>
      <c r="Q31" s="50">
        <f>IF(I31="",0,IF(K31&gt;1,1,IF(IF(J31="",I31,J31)&lt;TODAY(),2,IF(J31&gt;1,3,4))))</f>
        <v/>
      </c>
      <c r="R31" s="51">
        <f>IF(H31="",0,MONTH(H31))</f>
        <v/>
      </c>
      <c r="S31" s="52" t="n"/>
      <c r="T31" s="52" t="n"/>
      <c r="U31" s="52" t="n"/>
    </row>
    <row r="32" hidden="1" ht="40.5" customHeight="1" s="53">
      <c r="A32" s="39" t="n"/>
      <c r="B32" s="44" t="n">
        <v>20</v>
      </c>
      <c r="C32" s="45" t="inlineStr">
        <is>
          <t>Eventos</t>
        </is>
      </c>
      <c r="D32" s="45" t="inlineStr">
        <is>
          <t>CT-EVT-011 — Editar evento existente</t>
        </is>
      </c>
      <c r="E32" s="44" t="inlineStr">
        <is>
          <t>Modal fecha; snackbar de sucesso; dados atualizados refletem na lista</t>
        </is>
      </c>
      <c r="F32" s="44" t="inlineStr">
        <is>
          <t>Evento editado com sucesso; alterações de título e data refletidas na lista</t>
        </is>
      </c>
      <c r="G32" s="44" t="n"/>
      <c r="H32" s="46" t="n"/>
      <c r="I32" s="46" t="n"/>
      <c r="J32" s="46" t="n"/>
      <c r="K32" s="46" t="n">
        <v>46198</v>
      </c>
      <c r="L32" s="46" t="inlineStr">
        <is>
          <t>Aprovado</t>
        </is>
      </c>
      <c r="M32" s="47">
        <f>IF(K32&gt;0,100%,0%)</f>
        <v/>
      </c>
      <c r="N32" s="47">
        <f>IF(J32="",IF(I32&gt;0,IF(TODAY()&gt;=I32,1,IF(TODAY()&lt;H32,0,(TODAY()-H32)/(I32-H32))),""),IF(J32&gt;0,IF(TODAY()&gt;=J32,1,IF(TODAY()&lt;H32,0,(TODAY()-H32)/(J32-H32))),""))</f>
        <v/>
      </c>
      <c r="O32" s="48" t="inlineStr">
        <is>
          <t>n</t>
        </is>
      </c>
      <c r="P32" s="49" t="n"/>
      <c r="Q32" s="50">
        <f>IF(I32="",0,IF(K32&gt;1,1,IF(IF(J32="",I32,J32)&lt;TODAY(),2,IF(J32&gt;1,3,4))))</f>
        <v/>
      </c>
      <c r="R32" s="51">
        <f>IF(H32="",0,MONTH(H32))</f>
        <v/>
      </c>
      <c r="S32" s="52" t="n"/>
      <c r="T32" s="52" t="n"/>
      <c r="U32" s="52" t="n"/>
    </row>
    <row r="33" hidden="1" ht="40.5" customHeight="1" s="53">
      <c r="A33" s="39" t="n"/>
      <c r="B33" s="44" t="n">
        <v>21</v>
      </c>
      <c r="C33" s="45" t="inlineStr">
        <is>
          <t>Eventos</t>
        </is>
      </c>
      <c r="D33" s="45" t="inlineStr">
        <is>
          <t>CT-EVT-012 — Editar evento removendo campo obrigatório</t>
        </is>
      </c>
      <c r="E33" s="44" t="inlineStr">
        <is>
          <t>Erro de validação exibido; alteração não salva</t>
        </is>
      </c>
      <c r="F33" s="44" t="inlineStr">
        <is>
          <t>Erro de validação exibido ao tentar salvar evento sem título obrigatório</t>
        </is>
      </c>
      <c r="G33" s="44" t="n"/>
      <c r="H33" s="46" t="n"/>
      <c r="I33" s="46" t="n"/>
      <c r="J33" s="46" t="n"/>
      <c r="K33" s="46" t="n">
        <v>46198</v>
      </c>
      <c r="L33" s="46" t="inlineStr">
        <is>
          <t>Aprovado</t>
        </is>
      </c>
      <c r="M33" s="47">
        <f>IF(K33&gt;0,100%,0%)</f>
        <v/>
      </c>
      <c r="N33" s="47">
        <f>IF(J33="",IF(I33&gt;0,IF(TODAY()&gt;=I33,1,IF(TODAY()&lt;H33,0,(TODAY()-H33)/(I33-H33))),""),IF(J33&gt;0,IF(TODAY()&gt;=J33,1,IF(TODAY()&lt;H33,0,(TODAY()-H33)/(J33-H33))),""))</f>
        <v/>
      </c>
      <c r="O33" s="48" t="inlineStr">
        <is>
          <t>n</t>
        </is>
      </c>
      <c r="P33" s="49" t="n"/>
      <c r="Q33" s="50">
        <f>IF(I33="",0,IF(K33&gt;1,1,IF(IF(J33="",I33,J33)&lt;TODAY(),2,IF(J33&gt;1,3,4))))</f>
        <v/>
      </c>
      <c r="R33" s="51">
        <f>IF(H33="",0,MONTH(H33))</f>
        <v/>
      </c>
      <c r="S33" s="52" t="n"/>
      <c r="T33" s="52" t="n"/>
      <c r="U33" s="52" t="n"/>
    </row>
    <row r="34" hidden="1" ht="40.5" customHeight="1" s="53">
      <c r="A34" s="39" t="n"/>
      <c r="B34" s="44" t="n">
        <v>22</v>
      </c>
      <c r="C34" s="45" t="inlineStr">
        <is>
          <t>Eventos</t>
        </is>
      </c>
      <c r="D34" s="45" t="inlineStr">
        <is>
          <t>CT-EVT-013 — Excluir evento</t>
        </is>
      </c>
      <c r="E34" s="44" t="inlineStr">
        <is>
          <t>Evento removido da lista; snackbar de sucesso</t>
        </is>
      </c>
      <c r="F34" s="44" t="inlineStr">
        <is>
          <t>Evento excluído após confirmação no diálogo; removido da lista</t>
        </is>
      </c>
      <c r="G34" s="44" t="n"/>
      <c r="H34" s="46" t="n"/>
      <c r="I34" s="46" t="n"/>
      <c r="J34" s="46" t="n"/>
      <c r="K34" s="46" t="n">
        <v>46198</v>
      </c>
      <c r="L34" s="46" t="inlineStr">
        <is>
          <t>Aprovado</t>
        </is>
      </c>
      <c r="M34" s="47">
        <f>IF(K34&gt;0,100%,0%)</f>
        <v/>
      </c>
      <c r="N34" s="47">
        <f>IF(J34="",IF(I34&gt;0,IF(TODAY()&gt;=I34,1,IF(TODAY()&lt;H34,0,(TODAY()-H34)/(I34-H34))),""),IF(J34&gt;0,IF(TODAY()&gt;=J34,1,IF(TODAY()&lt;H34,0,(TODAY()-H34)/(J34-H34))),""))</f>
        <v/>
      </c>
      <c r="O34" s="48" t="inlineStr">
        <is>
          <t>n</t>
        </is>
      </c>
      <c r="P34" s="49" t="n"/>
      <c r="Q34" s="50">
        <f>IF(I34="",0,IF(K34&gt;1,1,IF(IF(J34="",I34,J34)&lt;TODAY(),2,IF(J34&gt;1,3,4))))</f>
        <v/>
      </c>
      <c r="R34" s="51">
        <f>IF(H34="",0,MONTH(H34))</f>
        <v/>
      </c>
      <c r="S34" s="52" t="n"/>
      <c r="T34" s="52" t="n"/>
      <c r="U34" s="52" t="n"/>
    </row>
    <row r="35" hidden="1" ht="40.5" customHeight="1" s="53">
      <c r="A35" s="39" t="n"/>
      <c r="B35" s="44" t="n">
        <v>23</v>
      </c>
      <c r="C35" s="45" t="inlineStr">
        <is>
          <t>Eventos</t>
        </is>
      </c>
      <c r="D35" s="45" t="inlineStr">
        <is>
          <t>CT-EVT-014 — Cancelar exclusão de evento</t>
        </is>
      </c>
      <c r="E35" s="44" t="inlineStr">
        <is>
          <t>Modal fecha; evento permanece na lista</t>
        </is>
      </c>
      <c r="F35" s="44" t="inlineStr">
        <is>
          <t>Cancelamento da exclusão funcionou; evento permanece na lista sem alterações</t>
        </is>
      </c>
      <c r="G35" s="44" t="n"/>
      <c r="H35" s="46" t="n"/>
      <c r="I35" s="46" t="n"/>
      <c r="J35" s="46" t="n"/>
      <c r="K35" s="46" t="n">
        <v>46198</v>
      </c>
      <c r="L35" s="46" t="inlineStr">
        <is>
          <t>Aprovado</t>
        </is>
      </c>
      <c r="M35" s="47">
        <f>IF(K35&gt;0,100%,0%)</f>
        <v/>
      </c>
      <c r="N35" s="47">
        <f>IF(J35="",IF(I35&gt;0,IF(TODAY()&gt;=I35,1,IF(TODAY()&lt;H35,0,(TODAY()-H35)/(I35-H35))),""),IF(J35&gt;0,IF(TODAY()&gt;=J35,1,IF(TODAY()&lt;H35,0,(TODAY()-H35)/(J35-H35))),""))</f>
        <v/>
      </c>
      <c r="O35" s="48" t="inlineStr">
        <is>
          <t>n</t>
        </is>
      </c>
      <c r="P35" s="49" t="n"/>
      <c r="Q35" s="50">
        <f>IF(I35="",0,IF(K35&gt;1,1,IF(IF(J35="",I35,J35)&lt;TODAY(),2,IF(J35&gt;1,3,4))))</f>
        <v/>
      </c>
      <c r="R35" s="51">
        <f>IF(H35="",0,MONTH(H35))</f>
        <v/>
      </c>
      <c r="S35" s="52" t="n"/>
      <c r="T35" s="52" t="n"/>
      <c r="U35" s="52" t="n"/>
    </row>
    <row r="36" hidden="1" ht="40.5" customHeight="1" s="53">
      <c r="A36" s="39" t="n"/>
      <c r="B36" s="44" t="n">
        <v>24</v>
      </c>
      <c r="C36" s="45" t="inlineStr">
        <is>
          <t>Eventos</t>
        </is>
      </c>
      <c r="D36" s="45" t="inlineStr">
        <is>
          <t>CT-EVT-015 — Paginação da lista de eventos</t>
        </is>
      </c>
      <c r="E36" s="44" t="inlineStr">
        <is>
          <t>Próxima página carregada com eventos corretos; controles de paginação refletem página atual e total</t>
        </is>
      </c>
      <c r="F36" s="44" t="inlineStr">
        <is>
          <t>Paginação da lista de eventos funcional com navegação entre páginas</t>
        </is>
      </c>
      <c r="G36" s="44" t="n"/>
      <c r="H36" s="46" t="n"/>
      <c r="I36" s="46" t="n"/>
      <c r="J36" s="46" t="n"/>
      <c r="K36" s="46" t="n">
        <v>46198</v>
      </c>
      <c r="L36" s="46" t="inlineStr">
        <is>
          <t>Aprovado</t>
        </is>
      </c>
      <c r="M36" s="47">
        <f>IF(K36&gt;0,100%,0%)</f>
        <v/>
      </c>
      <c r="N36" s="47">
        <f>IF(J36="",IF(I36&gt;0,IF(TODAY()&gt;=I36,1,IF(TODAY()&lt;H36,0,(TODAY()-H36)/(I36-H36))),""),IF(J36&gt;0,IF(TODAY()&gt;=J36,1,IF(TODAY()&lt;H36,0,(TODAY()-H36)/(J36-H36))),""))</f>
        <v/>
      </c>
      <c r="O36" s="48" t="inlineStr">
        <is>
          <t>n</t>
        </is>
      </c>
      <c r="P36" s="49" t="n"/>
      <c r="Q36" s="50">
        <f>IF(I36="",0,IF(K36&gt;1,1,IF(IF(J36="",I36,J36)&lt;TODAY(),2,IF(J36&gt;1,3,4))))</f>
        <v/>
      </c>
      <c r="R36" s="51">
        <f>IF(H36="",0,MONTH(H36))</f>
        <v/>
      </c>
      <c r="S36" s="52" t="n"/>
      <c r="T36" s="52" t="n"/>
      <c r="U36" s="52" t="n"/>
    </row>
    <row r="37" hidden="1" ht="40.5" customHeight="1" s="53">
      <c r="A37" s="39" t="n"/>
      <c r="B37" s="44" t="n">
        <v>25</v>
      </c>
      <c r="C37" s="45" t="inlineStr">
        <is>
          <t>Calendário (Atendimentos)</t>
        </is>
      </c>
      <c r="D37" s="45" t="inlineStr">
        <is>
          <t>CT-CAL-001 — Listar atendimentos do mês atual</t>
        </is>
      </c>
      <c r="E37" s="44" t="inlineStr">
        <is>
          <t>Grade exibe atendimentos do mês corrente; cabeçalho exibe mês/ano atual</t>
        </is>
      </c>
      <c r="F37" s="44" t="inlineStr">
        <is>
          <t>Calendário do mês atual carregado com atendimentos listados nas datas corretas</t>
        </is>
      </c>
      <c r="G37" s="44" t="n"/>
      <c r="H37" s="46" t="n"/>
      <c r="I37" s="46" t="n"/>
      <c r="J37" s="46" t="n"/>
      <c r="K37" s="46" t="n">
        <v>46198</v>
      </c>
      <c r="L37" s="46" t="inlineStr">
        <is>
          <t>Aprovado</t>
        </is>
      </c>
      <c r="M37" s="47">
        <f>IF(K37&gt;0,100%,0%)</f>
        <v/>
      </c>
      <c r="N37" s="47">
        <f>IF(J37="",IF(I37&gt;0,IF(TODAY()&gt;=I37,1,IF(TODAY()&lt;H37,0,(TODAY()-H37)/(I37-H37))),""),IF(J37&gt;0,IF(TODAY()&gt;=J37,1,IF(TODAY()&lt;H37,0,(TODAY()-H37)/(J37-H37))),""))</f>
        <v/>
      </c>
      <c r="O37" s="48" t="inlineStr">
        <is>
          <t>n</t>
        </is>
      </c>
      <c r="P37" s="49" t="n"/>
      <c r="Q37" s="50">
        <f>IF(I37="",0,IF(K37&gt;1,1,IF(IF(J37="",I37,J37)&lt;TODAY(),2,IF(J37&gt;1,3,4))))</f>
        <v/>
      </c>
      <c r="R37" s="51">
        <f>IF(H37="",0,MONTH(H37))</f>
        <v/>
      </c>
      <c r="S37" s="52" t="n"/>
      <c r="T37" s="52" t="n"/>
      <c r="U37" s="52" t="n"/>
    </row>
    <row r="38" hidden="1" ht="40.5" customHeight="1" s="53">
      <c r="A38" s="39" t="n"/>
      <c r="B38" s="44" t="n">
        <v>26</v>
      </c>
      <c r="C38" s="45" t="inlineStr">
        <is>
          <t>Calendário (Atendimentos)</t>
        </is>
      </c>
      <c r="D38" s="45" t="inlineStr">
        <is>
          <t>CT-CAL-002 — Navegar entre meses</t>
        </is>
      </c>
      <c r="E38" s="44" t="inlineStr">
        <is>
          <t>Lista atualizada com atendimentos do mês navegado; cabeçalho atualiza corretamente</t>
        </is>
      </c>
      <c r="F38" s="44" t="inlineStr">
        <is>
          <t>Navegação entre meses funcional com botões prev/next do calendário</t>
        </is>
      </c>
      <c r="G38" s="44" t="n"/>
      <c r="H38" s="46" t="n"/>
      <c r="I38" s="46" t="n"/>
      <c r="J38" s="46" t="n"/>
      <c r="K38" s="46" t="n">
        <v>46198</v>
      </c>
      <c r="L38" s="46" t="inlineStr">
        <is>
          <t>Aprovado</t>
        </is>
      </c>
      <c r="M38" s="47">
        <f>IF(K38&gt;0,100%,0%)</f>
        <v/>
      </c>
      <c r="N38" s="47">
        <f>IF(J38="",IF(I38&gt;0,IF(TODAY()&gt;=I38,1,IF(TODAY()&lt;H38,0,(TODAY()-H38)/(I38-H38))),""),IF(J38&gt;0,IF(TODAY()&gt;=J38,1,IF(TODAY()&lt;H38,0,(TODAY()-H38)/(J38-H38))),""))</f>
        <v/>
      </c>
      <c r="O38" s="48" t="inlineStr">
        <is>
          <t>n</t>
        </is>
      </c>
      <c r="P38" s="49" t="n"/>
      <c r="Q38" s="50">
        <f>IF(I38="",0,IF(K38&gt;1,1,IF(IF(J38="",I38,J38)&lt;TODAY(),2,IF(J38&gt;1,3,4))))</f>
        <v/>
      </c>
      <c r="R38" s="51">
        <f>IF(H38="",0,MONTH(H38))</f>
        <v/>
      </c>
      <c r="S38" s="52" t="n"/>
      <c r="T38" s="52" t="n"/>
      <c r="U38" s="52" t="n"/>
    </row>
    <row r="39" hidden="1" ht="40.5" customHeight="1" s="53">
      <c r="A39" s="39" t="n"/>
      <c r="B39" s="44" t="n">
        <v>27</v>
      </c>
      <c r="C39" s="45" t="inlineStr">
        <is>
          <t>Calendário (Atendimentos)</t>
        </is>
      </c>
      <c r="D39" s="45" t="inlineStr">
        <is>
          <t>CT-CAL-003 — Criar atendimento com dados válidos</t>
        </is>
      </c>
      <c r="E39" s="44" t="inlineStr">
        <is>
          <t>Atendimento criado e exibido na lista do mês correspondente</t>
        </is>
      </c>
      <c r="F39" s="44" t="inlineStr">
        <is>
          <t>Atendimento criado com sucesso; listado no calendário na data correta</t>
        </is>
      </c>
      <c r="G39" s="44" t="n"/>
      <c r="H39" s="46" t="n"/>
      <c r="I39" s="46" t="n"/>
      <c r="J39" s="46" t="n"/>
      <c r="K39" s="46" t="n">
        <v>46198</v>
      </c>
      <c r="L39" s="46" t="inlineStr">
        <is>
          <t>Aprovado</t>
        </is>
      </c>
      <c r="M39" s="47">
        <f>IF(K39&gt;0,100%,0%)</f>
        <v/>
      </c>
      <c r="N39" s="47">
        <f>IF(J39="",IF(I39&gt;0,IF(TODAY()&gt;=I39,1,IF(TODAY()&lt;H39,0,(TODAY()-H39)/(I39-H39))),""),IF(J39&gt;0,IF(TODAY()&gt;=J39,1,IF(TODAY()&lt;H39,0,(TODAY()-H39)/(J39-H39))),""))</f>
        <v/>
      </c>
      <c r="O39" s="48" t="inlineStr">
        <is>
          <t>n</t>
        </is>
      </c>
      <c r="P39" s="49" t="n"/>
      <c r="Q39" s="50">
        <f>IF(I39="",0,IF(K39&gt;1,1,IF(IF(J39="",I39,J39)&lt;TODAY(),2,IF(J39&gt;1,3,4))))</f>
        <v/>
      </c>
      <c r="R39" s="51">
        <f>IF(H39="",0,MONTH(H39))</f>
        <v/>
      </c>
      <c r="S39" s="52" t="n"/>
      <c r="T39" s="52" t="n"/>
      <c r="U39" s="52" t="n"/>
    </row>
    <row r="40" hidden="1" ht="40.5" customHeight="1" s="53">
      <c r="A40" s="39" t="n"/>
      <c r="B40" s="44" t="n">
        <v>28</v>
      </c>
      <c r="C40" s="45" t="inlineStr">
        <is>
          <t>Calendário (Atendimentos)</t>
        </is>
      </c>
      <c r="D40" s="45" t="inlineStr">
        <is>
          <t>CT-CAL-004 — Criar atendimento sem data</t>
        </is>
      </c>
      <c r="E40" s="44" t="inlineStr">
        <is>
          <t>Erro de validação no campo Data</t>
        </is>
      </c>
      <c r="F40" s="44" t="inlineStr">
        <is>
          <t>Erro de validação exibido ao tentar criar atendimento sem data</t>
        </is>
      </c>
      <c r="G40" s="44" t="n"/>
      <c r="H40" s="46" t="n"/>
      <c r="I40" s="46" t="n"/>
      <c r="J40" s="46" t="n"/>
      <c r="K40" s="46" t="n">
        <v>46198</v>
      </c>
      <c r="L40" s="46" t="inlineStr">
        <is>
          <t>Aprovado</t>
        </is>
      </c>
      <c r="M40" s="47">
        <f>IF(K40&gt;0,100%,0%)</f>
        <v/>
      </c>
      <c r="N40" s="47">
        <f>IF(J40="",IF(I40&gt;0,IF(TODAY()&gt;=I40,1,IF(TODAY()&lt;H40,0,(TODAY()-H40)/(I40-H40))),""),IF(J40&gt;0,IF(TODAY()&gt;=J40,1,IF(TODAY()&lt;H40,0,(TODAY()-H40)/(J40-H40))),""))</f>
        <v/>
      </c>
      <c r="O40" s="48" t="inlineStr">
        <is>
          <t>n</t>
        </is>
      </c>
      <c r="P40" s="49" t="n"/>
      <c r="Q40" s="50">
        <f>IF(I40="",0,IF(K40&gt;1,1,IF(IF(J40="",I40,J40)&lt;TODAY(),2,IF(J40&gt;1,3,4))))</f>
        <v/>
      </c>
      <c r="R40" s="51">
        <f>IF(H40="",0,MONTH(H40))</f>
        <v/>
      </c>
      <c r="S40" s="52" t="n"/>
      <c r="T40" s="52" t="n"/>
      <c r="U40" s="52" t="n"/>
    </row>
    <row r="41" hidden="1" ht="40.5" customHeight="1" s="53">
      <c r="A41" s="39" t="n"/>
      <c r="B41" s="44" t="n">
        <v>29</v>
      </c>
      <c r="C41" s="45" t="inlineStr">
        <is>
          <t>Calendário (Atendimentos)</t>
        </is>
      </c>
      <c r="D41" s="45" t="inlineStr">
        <is>
          <t>CT-CAL-005 — Criar atendimento com requer inscrição e capacidade máxima</t>
        </is>
      </c>
      <c r="E41" s="44" t="inlineStr">
        <is>
          <t>Atendimento criado com capacidade máxima registrada</t>
        </is>
      </c>
      <c r="F41" s="44" t="inlineStr">
        <is>
          <t>Atendimento com capacidade máxima e requer inscrição criado com sucesso</t>
        </is>
      </c>
      <c r="G41" s="44" t="n"/>
      <c r="H41" s="46" t="n"/>
      <c r="I41" s="46" t="n"/>
      <c r="J41" s="46" t="n"/>
      <c r="K41" s="46" t="n">
        <v>46198</v>
      </c>
      <c r="L41" s="46" t="inlineStr">
        <is>
          <t>Aprovado</t>
        </is>
      </c>
      <c r="M41" s="47">
        <f>IF(K41&gt;0,100%,0%)</f>
        <v/>
      </c>
      <c r="N41" s="47">
        <f>IF(J41="",IF(I41&gt;0,IF(TODAY()&gt;=I41,1,IF(TODAY()&lt;H41,0,(TODAY()-H41)/(I41-H41))),""),IF(J41&gt;0,IF(TODAY()&gt;=J41,1,IF(TODAY()&lt;H41,0,(TODAY()-H41)/(J41-H41))),""))</f>
        <v/>
      </c>
      <c r="O41" s="48" t="inlineStr">
        <is>
          <t>n</t>
        </is>
      </c>
      <c r="P41" s="49" t="n"/>
      <c r="Q41" s="50">
        <f>IF(I41="",0,IF(K41&gt;1,1,IF(IF(J41="",I41,J41)&lt;TODAY(),2,IF(J41&gt;1,3,4))))</f>
        <v/>
      </c>
      <c r="R41" s="51">
        <f>IF(H41="",0,MONTH(H41))</f>
        <v/>
      </c>
      <c r="S41" s="52" t="n"/>
      <c r="T41" s="52" t="n"/>
      <c r="U41" s="52" t="n"/>
    </row>
    <row r="42" hidden="1" ht="40.5" customHeight="1" s="53">
      <c r="A42" s="39" t="n"/>
      <c r="B42" s="44" t="n">
        <v>30</v>
      </c>
      <c r="C42" s="45" t="inlineStr">
        <is>
          <t>Calendário (Atendimentos)</t>
        </is>
      </c>
      <c r="D42" s="45" t="inlineStr">
        <is>
          <t>CT-CAL-006 — Criar atendimento com capacidade máxima inválida</t>
        </is>
      </c>
      <c r="E42" s="44" t="inlineStr">
        <is>
          <t>Erro de validação; atendimento não criado</t>
        </is>
      </c>
      <c r="F42" s="44" t="inlineStr">
        <is>
          <t>Erro exibido ao inserir capacidade máxima inválida (zero ou negativo)</t>
        </is>
      </c>
      <c r="G42" s="44" t="n"/>
      <c r="H42" s="46" t="n"/>
      <c r="I42" s="46" t="n"/>
      <c r="J42" s="46" t="n"/>
      <c r="K42" s="46" t="n">
        <v>46198</v>
      </c>
      <c r="L42" s="46" t="inlineStr">
        <is>
          <t>Aprovado</t>
        </is>
      </c>
      <c r="M42" s="47">
        <f>IF(K42&gt;0,100%,0%)</f>
        <v/>
      </c>
      <c r="N42" s="47">
        <f>IF(J42="",IF(I42&gt;0,IF(TODAY()&gt;=I42,1,IF(TODAY()&lt;H42,0,(TODAY()-H42)/(I42-H42))),""),IF(J42&gt;0,IF(TODAY()&gt;=J42,1,IF(TODAY()&lt;H42,0,(TODAY()-H42)/(J42-H42))),""))</f>
        <v/>
      </c>
      <c r="O42" s="48" t="inlineStr">
        <is>
          <t>n</t>
        </is>
      </c>
      <c r="P42" s="49" t="n"/>
      <c r="Q42" s="50">
        <f>IF(I42="",0,IF(K42&gt;1,1,IF(IF(J42="",I42,J42)&lt;TODAY(),2,IF(J42&gt;1,3,4))))</f>
        <v/>
      </c>
      <c r="R42" s="51">
        <f>IF(H42="",0,MONTH(H42))</f>
        <v/>
      </c>
      <c r="S42" s="52" t="n"/>
      <c r="T42" s="52" t="n"/>
      <c r="U42" s="52" t="n"/>
    </row>
    <row r="43" hidden="1" ht="40.5" customHeight="1" s="53">
      <c r="A43" s="39" t="n"/>
      <c r="B43" s="44" t="n">
        <v>31</v>
      </c>
      <c r="C43" s="45" t="inlineStr">
        <is>
          <t>Calendário (Atendimentos)</t>
        </is>
      </c>
      <c r="D43" s="45" t="inlineStr">
        <is>
          <t>CT-CAL-007 — Editar atendimento existente</t>
        </is>
      </c>
      <c r="E43" s="44" t="inlineStr">
        <is>
          <t>Dados atualizados refletem na lista</t>
        </is>
      </c>
      <c r="F43" s="44" t="inlineStr">
        <is>
          <t>Edição de atendimento salva com sucesso via API (PUT retornou 200); regra de negócio validada</t>
        </is>
      </c>
      <c r="G43" s="44" t="n"/>
      <c r="H43" s="46" t="n"/>
      <c r="I43" s="46" t="n"/>
      <c r="J43" s="46" t="n"/>
      <c r="K43" s="46" t="n">
        <v>46198</v>
      </c>
      <c r="L43" s="46" t="inlineStr">
        <is>
          <t>Aprovado</t>
        </is>
      </c>
      <c r="M43" s="47">
        <f>IF(K43&gt;0,100%,0%)</f>
        <v/>
      </c>
      <c r="N43" s="47">
        <f>IF(J43="",IF(I43&gt;0,IF(TODAY()&gt;=I43,1,IF(TODAY()&lt;H43,0,(TODAY()-H43)/(I43-H43))),""),IF(J43&gt;0,IF(TODAY()&gt;=J43,1,IF(TODAY()&lt;H43,0,(TODAY()-H43)/(J43-H43))),""))</f>
        <v/>
      </c>
      <c r="O43" s="48" t="inlineStr">
        <is>
          <t>n</t>
        </is>
      </c>
      <c r="P43" s="49" t="n"/>
      <c r="Q43" s="50">
        <f>IF(I43="",0,IF(K43&gt;1,1,IF(IF(J43="",I43,J43)&lt;TODAY(),2,IF(J43&gt;1,3,4))))</f>
        <v/>
      </c>
      <c r="R43" s="51">
        <f>IF(H43="",0,MONTH(H43))</f>
        <v/>
      </c>
      <c r="S43" s="52" t="n"/>
      <c r="T43" s="52" t="n"/>
      <c r="U43" s="52" t="n"/>
    </row>
    <row r="44" ht="53.25" customHeight="1" s="53">
      <c r="A44" s="39" t="n"/>
      <c r="B44" s="44" t="n">
        <v>32</v>
      </c>
      <c r="C44" s="45" t="inlineStr">
        <is>
          <t>Calendário (Atendimentos)</t>
        </is>
      </c>
      <c r="D44" s="45" t="inlineStr">
        <is>
          <t>CT-CAL-008 — Ativar/desativar atendimento</t>
        </is>
      </c>
      <c r="E44" s="44" t="inlineStr">
        <is>
          <t>Status de ativo atualizado; chip na lista reflete o novo estado</t>
        </is>
      </c>
      <c r="F44" s="44" t="inlineStr">
        <is>
          <t>Campo ativo/inativo não disponível na interface; API suporta isActive via PUT mas UI não expõe o controle</t>
        </is>
      </c>
      <c r="G44" s="44" t="n"/>
      <c r="H44" s="46" t="n"/>
      <c r="I44" s="46" t="n"/>
      <c r="J44" s="46" t="n"/>
      <c r="K44" s="46" t="n">
        <v>46198</v>
      </c>
      <c r="L44" s="46" t="inlineStr">
        <is>
          <t>Reprovado</t>
        </is>
      </c>
      <c r="M44" s="47">
        <f>IF(K44&gt;0,100%,0%)</f>
        <v/>
      </c>
      <c r="N44" s="47">
        <f>IF(J44="",IF(I44&gt;0,IF(TODAY()&gt;=I44,1,IF(TODAY()&lt;H44,0,(TODAY()-H44)/(I44-H44))),""),IF(J44&gt;0,IF(TODAY()&gt;=J44,1,IF(TODAY()&lt;H44,0,(TODAY()-H44)/(J44-H44))),""))</f>
        <v/>
      </c>
      <c r="O44" s="48" t="inlineStr">
        <is>
          <t>n</t>
        </is>
      </c>
      <c r="P44" s="49" t="n"/>
      <c r="Q44" s="50">
        <f>IF(I44="",0,IF(K44&gt;1,1,IF(IF(J44="",I44,J44)&lt;TODAY(),2,IF(J44&gt;1,3,4))))</f>
        <v/>
      </c>
      <c r="R44" s="51">
        <f>IF(H44="",0,MONTH(H44))</f>
        <v/>
      </c>
      <c r="S44" s="52" t="n"/>
      <c r="T44" s="52" t="n"/>
      <c r="U44" s="52" t="n"/>
    </row>
    <row r="45" hidden="1" ht="40.5" customHeight="1" s="53">
      <c r="A45" s="39" t="n"/>
      <c r="B45" s="44" t="n">
        <v>33</v>
      </c>
      <c r="C45" s="45" t="inlineStr">
        <is>
          <t>Calendário (Atendimentos)</t>
        </is>
      </c>
      <c r="D45" s="45" t="inlineStr">
        <is>
          <t>CT-CAL-009 — Excluir atendimento</t>
        </is>
      </c>
      <c r="E45" s="44" t="inlineStr">
        <is>
          <t>Atendimento removido da lista</t>
        </is>
      </c>
      <c r="F45" s="44" t="inlineStr">
        <is>
          <t>Atendimento excluído após confirmação no diálogo; removido do calendário</t>
        </is>
      </c>
      <c r="G45" s="44" t="n"/>
      <c r="H45" s="46" t="n"/>
      <c r="I45" s="46" t="n"/>
      <c r="J45" s="46" t="n"/>
      <c r="K45" s="46" t="n">
        <v>46198</v>
      </c>
      <c r="L45" s="46" t="inlineStr">
        <is>
          <t>Aprovado</t>
        </is>
      </c>
      <c r="M45" s="47">
        <f>IF(K45&gt;0,100%,0%)</f>
        <v/>
      </c>
      <c r="N45" s="47">
        <f>IF(J45="",IF(I45&gt;0,IF(TODAY()&gt;=I45,1,IF(TODAY()&lt;H45,0,(TODAY()-H45)/(I45-H45))),""),IF(J45&gt;0,IF(TODAY()&gt;=J45,1,IF(TODAY()&lt;H45,0,(TODAY()-H45)/(J45-H45))),""))</f>
        <v/>
      </c>
      <c r="O45" s="48" t="inlineStr">
        <is>
          <t>n</t>
        </is>
      </c>
      <c r="P45" s="49" t="n"/>
      <c r="Q45" s="50">
        <f>IF(I45="",0,IF(K45&gt;1,1,IF(IF(J45="",I45,J45)&lt;TODAY(),2,IF(J45&gt;1,3,4))))</f>
        <v/>
      </c>
      <c r="R45" s="51">
        <f>IF(H45="",0,MONTH(H45))</f>
        <v/>
      </c>
      <c r="S45" s="52" t="n"/>
      <c r="T45" s="52" t="n"/>
      <c r="U45" s="52" t="n"/>
    </row>
    <row r="46" hidden="1" ht="53.25" customHeight="1" s="53">
      <c r="A46" s="39" t="n"/>
      <c r="B46" s="44" t="n">
        <v>34</v>
      </c>
      <c r="C46" s="45" t="inlineStr">
        <is>
          <t>Guias / Entidades</t>
        </is>
      </c>
      <c r="D46" s="45" t="inlineStr">
        <is>
          <t>CT-GUI-001 — Listar guias</t>
        </is>
      </c>
      <c r="E46" s="44" t="inlineStr">
        <is>
          <t>Lista paginada exibindo Nome, Especialidades, Status</t>
        </is>
      </c>
      <c r="F46" s="44" t="inlineStr">
        <is>
          <t>Lista de guias exibida com 7 registros; colunas Ordem, Nome, Especialidades e paginação funcional</t>
        </is>
      </c>
      <c r="G46" s="44" t="n"/>
      <c r="H46" s="46" t="n"/>
      <c r="I46" s="46" t="n"/>
      <c r="J46" s="46" t="n"/>
      <c r="K46" s="46" t="n">
        <v>46198</v>
      </c>
      <c r="L46" s="46" t="inlineStr">
        <is>
          <t>Aprovado</t>
        </is>
      </c>
      <c r="M46" s="47">
        <f>IF(K46&gt;0,100%,0%)</f>
        <v/>
      </c>
      <c r="N46" s="47">
        <f>IF(J46="",IF(I46&gt;0,IF(TODAY()&gt;=I46,1,IF(TODAY()&lt;H46,0,(TODAY()-H46)/(I46-H46))),""),IF(J46&gt;0,IF(TODAY()&gt;=J46,1,IF(TODAY()&lt;H46,0,(TODAY()-H46)/(J46-H46))),""))</f>
        <v/>
      </c>
      <c r="O46" s="48" t="inlineStr">
        <is>
          <t>n</t>
        </is>
      </c>
      <c r="P46" s="49" t="n"/>
      <c r="Q46" s="50">
        <f>IF(I46="",0,IF(K46&gt;1,1,IF(IF(J46="",I46,J46)&lt;TODAY(),2,IF(J46&gt;1,3,4))))</f>
        <v/>
      </c>
      <c r="R46" s="51">
        <f>IF(H46="",0,MONTH(H46))</f>
        <v/>
      </c>
      <c r="S46" s="52" t="n"/>
      <c r="T46" s="52" t="n"/>
      <c r="U46" s="52" t="n"/>
    </row>
    <row r="47" hidden="1" ht="40.5" customHeight="1" s="53">
      <c r="A47" s="39" t="n"/>
      <c r="B47" s="44" t="n">
        <v>35</v>
      </c>
      <c r="C47" s="45" t="inlineStr">
        <is>
          <t>Guias / Entidades</t>
        </is>
      </c>
      <c r="D47" s="45" t="inlineStr">
        <is>
          <t>CT-GUI-002 — Criar guia com dados válidos</t>
        </is>
      </c>
      <c r="E47" s="44" t="inlineStr">
        <is>
          <t>Guia criado e listado</t>
        </is>
      </c>
      <c r="F47" s="44" t="inlineStr">
        <is>
          <t>Guia criado com Nome, Descrição e Especialidades; aparece na lista após criação</t>
        </is>
      </c>
      <c r="G47" s="44" t="n"/>
      <c r="H47" s="46" t="n"/>
      <c r="I47" s="46" t="n"/>
      <c r="J47" s="46" t="n"/>
      <c r="K47" s="46" t="n">
        <v>46198</v>
      </c>
      <c r="L47" s="46" t="inlineStr">
        <is>
          <t>Aprovado</t>
        </is>
      </c>
      <c r="M47" s="47">
        <f>IF(K47&gt;0,100%,0%)</f>
        <v/>
      </c>
      <c r="N47" s="47">
        <f>IF(J47="",IF(I47&gt;0,IF(TODAY()&gt;=I47,1,IF(TODAY()&lt;H47,0,(TODAY()-H47)/(I47-H47))),""),IF(J47&gt;0,IF(TODAY()&gt;=J47,1,IF(TODAY()&lt;H47,0,(TODAY()-H47)/(J47-H47))),""))</f>
        <v/>
      </c>
      <c r="O47" s="48" t="inlineStr">
        <is>
          <t>n</t>
        </is>
      </c>
      <c r="P47" s="49" t="n"/>
      <c r="Q47" s="50">
        <f>IF(I47="",0,IF(K47&gt;1,1,IF(IF(J47="",I47,J47)&lt;TODAY(),2,IF(J47&gt;1,3,4))))</f>
        <v/>
      </c>
      <c r="R47" s="51">
        <f>IF(H47="",0,MONTH(H47))</f>
        <v/>
      </c>
      <c r="S47" s="52" t="n"/>
      <c r="T47" s="52" t="n"/>
      <c r="U47" s="52" t="n"/>
    </row>
    <row r="48" hidden="1" ht="27" customHeight="1" s="53">
      <c r="A48" s="39" t="n"/>
      <c r="B48" s="44" t="n">
        <v>36</v>
      </c>
      <c r="C48" s="45" t="inlineStr">
        <is>
          <t>Guias / Entidades</t>
        </is>
      </c>
      <c r="D48" s="45" t="inlineStr">
        <is>
          <t>CT-GUI-003 — Criar guia sem nome</t>
        </is>
      </c>
      <c r="E48" s="44" t="inlineStr">
        <is>
          <t>Erro 'Nome é obrigatório'</t>
        </is>
      </c>
      <c r="F48" s="44" t="inlineStr">
        <is>
          <t>Erro 'Nome é obrigatório' exibido ao tentar criar guia sem nome</t>
        </is>
      </c>
      <c r="G48" s="44" t="n"/>
      <c r="H48" s="46" t="n"/>
      <c r="I48" s="46" t="n"/>
      <c r="J48" s="46" t="n"/>
      <c r="K48" s="46" t="n">
        <v>46198</v>
      </c>
      <c r="L48" s="46" t="inlineStr">
        <is>
          <t>Aprovado</t>
        </is>
      </c>
      <c r="M48" s="47">
        <f>IF(K48&gt;0,100%,0%)</f>
        <v/>
      </c>
      <c r="N48" s="47">
        <f>IF(J48="",IF(I48&gt;0,IF(TODAY()&gt;=I48,1,IF(TODAY()&lt;H48,0,(TODAY()-H48)/(I48-H48))),""),IF(J48&gt;0,IF(TODAY()&gt;=J48,1,IF(TODAY()&lt;H48,0,(TODAY()-H48)/(J48-H48))),""))</f>
        <v/>
      </c>
      <c r="O48" s="48" t="inlineStr">
        <is>
          <t>n</t>
        </is>
      </c>
      <c r="P48" s="49" t="n"/>
      <c r="Q48" s="50">
        <f>IF(I48="",0,IF(K48&gt;1,1,IF(IF(J48="",I48,J48)&lt;TODAY(),2,IF(J48&gt;1,3,4))))</f>
        <v/>
      </c>
      <c r="R48" s="51">
        <f>IF(H48="",0,MONTH(H48))</f>
        <v/>
      </c>
      <c r="S48" s="52" t="n"/>
      <c r="T48" s="52" t="n"/>
      <c r="U48" s="52" t="n"/>
    </row>
    <row r="49" hidden="1" ht="40.5" customHeight="1" s="53">
      <c r="A49" s="39" t="n"/>
      <c r="B49" s="44" t="n">
        <v>37</v>
      </c>
      <c r="C49" s="45" t="inlineStr">
        <is>
          <t>Guias / Entidades</t>
        </is>
      </c>
      <c r="D49" s="45" t="inlineStr">
        <is>
          <t>CT-GUI-004 — Criar guia sem especialidades</t>
        </is>
      </c>
      <c r="E49" s="44" t="inlineStr">
        <is>
          <t>Erro 'Informe pelo menos uma especialidade'</t>
        </is>
      </c>
      <c r="F49" s="44" t="inlineStr">
        <is>
          <t>Erro 'Informe pelo menos uma especialidade' exibido ao criar guia sem especialidades</t>
        </is>
      </c>
      <c r="G49" s="44" t="n"/>
      <c r="H49" s="46" t="n"/>
      <c r="I49" s="46" t="n"/>
      <c r="J49" s="46" t="n"/>
      <c r="K49" s="46" t="n">
        <v>46198</v>
      </c>
      <c r="L49" s="46" t="inlineStr">
        <is>
          <t>Aprovado</t>
        </is>
      </c>
      <c r="M49" s="47">
        <f>IF(K49&gt;0,100%,0%)</f>
        <v/>
      </c>
      <c r="N49" s="47">
        <f>IF(J49="",IF(I49&gt;0,IF(TODAY()&gt;=I49,1,IF(TODAY()&lt;H49,0,(TODAY()-H49)/(I49-H49))),""),IF(J49&gt;0,IF(TODAY()&gt;=J49,1,IF(TODAY()&lt;H49,0,(TODAY()-H49)/(J49-H49))),""))</f>
        <v/>
      </c>
      <c r="O49" s="48" t="inlineStr">
        <is>
          <t>n</t>
        </is>
      </c>
      <c r="P49" s="49" t="n"/>
      <c r="Q49" s="50">
        <f>IF(I49="",0,IF(K49&gt;1,1,IF(IF(J49="",I49,J49)&lt;TODAY(),2,IF(J49&gt;1,3,4))))</f>
        <v/>
      </c>
      <c r="R49" s="51">
        <f>IF(H49="",0,MONTH(H49))</f>
        <v/>
      </c>
      <c r="S49" s="52" t="n"/>
      <c r="T49" s="52" t="n"/>
      <c r="U49" s="52" t="n"/>
    </row>
    <row r="50" hidden="1" ht="27" customHeight="1" s="53">
      <c r="A50" s="39" t="n"/>
      <c r="B50" s="44" t="n">
        <v>38</v>
      </c>
      <c r="C50" s="45" t="inlineStr">
        <is>
          <t>Guias / Entidades</t>
        </is>
      </c>
      <c r="D50" s="45" t="inlineStr">
        <is>
          <t>CT-GUI-005 — Editar guia</t>
        </is>
      </c>
      <c r="E50" s="44" t="inlineStr">
        <is>
          <t>Alterações refletidas na lista</t>
        </is>
      </c>
      <c r="F50" s="44" t="inlineStr">
        <is>
          <t>Guia editado com sucesso; nome atualizado refletido na lista</t>
        </is>
      </c>
      <c r="G50" s="44" t="n"/>
      <c r="H50" s="46" t="n"/>
      <c r="I50" s="46" t="n"/>
      <c r="J50" s="46" t="n"/>
      <c r="K50" s="46" t="n">
        <v>46198</v>
      </c>
      <c r="L50" s="46" t="inlineStr">
        <is>
          <t>Aprovado</t>
        </is>
      </c>
      <c r="M50" s="47">
        <f>IF(K50&gt;0,100%,0%)</f>
        <v/>
      </c>
      <c r="N50" s="47">
        <f>IF(J50="",IF(I50&gt;0,IF(TODAY()&gt;=I50,1,IF(TODAY()&lt;H50,0,(TODAY()-H50)/(I50-H50))),""),IF(J50&gt;0,IF(TODAY()&gt;=J50,1,IF(TODAY()&lt;H50,0,(TODAY()-H50)/(J50-H50))),""))</f>
        <v/>
      </c>
      <c r="O50" s="48" t="inlineStr">
        <is>
          <t>n</t>
        </is>
      </c>
      <c r="P50" s="49" t="n"/>
      <c r="Q50" s="50">
        <f>IF(I50="",0,IF(K50&gt;1,1,IF(IF(J50="",I50,J50)&lt;TODAY(),2,IF(J50&gt;1,3,4))))</f>
        <v/>
      </c>
      <c r="R50" s="51">
        <f>IF(H50="",0,MONTH(H50))</f>
        <v/>
      </c>
      <c r="S50" s="52" t="n"/>
      <c r="T50" s="52" t="n"/>
      <c r="U50" s="52" t="n"/>
    </row>
    <row r="51" ht="53.25" customHeight="1" s="53">
      <c r="A51" s="39" t="n"/>
      <c r="B51" s="44" t="n">
        <v>39</v>
      </c>
      <c r="C51" s="45" t="inlineStr">
        <is>
          <t>Guias / Entidades</t>
        </is>
      </c>
      <c r="D51" s="45" t="inlineStr">
        <is>
          <t>CT-GUI-006 — Ativar/desativar guia</t>
        </is>
      </c>
      <c r="E51" s="44" t="inlineStr">
        <is>
          <t>Chip de status atualizado na lista</t>
        </is>
      </c>
      <c r="F51" s="44" t="inlineStr">
        <is>
          <t>Campo Ativo/Inativo não disponível no formulário de edição nem na lista do módulo Guias</t>
        </is>
      </c>
      <c r="G51" s="44" t="n"/>
      <c r="H51" s="46" t="n"/>
      <c r="I51" s="46" t="n"/>
      <c r="J51" s="46" t="n"/>
      <c r="K51" s="46" t="n">
        <v>46198</v>
      </c>
      <c r="L51" s="46" t="inlineStr">
        <is>
          <t>Reprovado</t>
        </is>
      </c>
      <c r="M51" s="47">
        <f>IF(K51&gt;0,100%,0%)</f>
        <v/>
      </c>
      <c r="N51" s="47">
        <f>IF(J51="",IF(I51&gt;0,IF(TODAY()&gt;=I51,1,IF(TODAY()&lt;H51,0,(TODAY()-H51)/(I51-H51))),""),IF(J51&gt;0,IF(TODAY()&gt;=J51,1,IF(TODAY()&lt;H51,0,(TODAY()-H51)/(J51-H51))),""))</f>
        <v/>
      </c>
      <c r="O51" s="48" t="inlineStr">
        <is>
          <t>n</t>
        </is>
      </c>
      <c r="P51" s="49" t="n"/>
      <c r="Q51" s="50">
        <f>IF(I51="",0,IF(K51&gt;1,1,IF(IF(J51="",I51,J51)&lt;TODAY(),2,IF(J51&gt;1,3,4))))</f>
        <v/>
      </c>
      <c r="R51" s="51">
        <f>IF(H51="",0,MONTH(H51))</f>
        <v/>
      </c>
      <c r="S51" s="52" t="n"/>
      <c r="T51" s="52" t="n"/>
      <c r="U51" s="52" t="n"/>
    </row>
    <row r="52" hidden="1" ht="53.25" customHeight="1" s="53">
      <c r="A52" s="39" t="n"/>
      <c r="B52" s="44" t="n">
        <v>40</v>
      </c>
      <c r="C52" s="45" t="inlineStr">
        <is>
          <t>Guias / Entidades</t>
        </is>
      </c>
      <c r="D52" s="45" t="inlineStr">
        <is>
          <t>CT-GUI-007 — Excluir guia</t>
        </is>
      </c>
      <c r="E52" s="44" t="inlineStr">
        <is>
          <t>Guia removido da lista</t>
        </is>
      </c>
      <c r="F52" s="44" t="inlineStr">
        <is>
          <t>Guia excluído após confirmação no diálogo 'Excluir definitivamente'; removido da lista</t>
        </is>
      </c>
      <c r="G52" s="44" t="n"/>
      <c r="H52" s="46" t="n"/>
      <c r="I52" s="46" t="n"/>
      <c r="J52" s="46" t="n"/>
      <c r="K52" s="46" t="n">
        <v>46198</v>
      </c>
      <c r="L52" s="46" t="inlineStr">
        <is>
          <t>Aprovado</t>
        </is>
      </c>
      <c r="M52" s="47">
        <f>IF(K52&gt;0,100%,0%)</f>
        <v/>
      </c>
      <c r="N52" s="47">
        <f>IF(J52="",IF(I52&gt;0,IF(TODAY()&gt;=I52,1,IF(TODAY()&lt;H52,0,(TODAY()-H52)/(I52-H52))),""),IF(J52&gt;0,IF(TODAY()&gt;=J52,1,IF(TODAY()&lt;H52,0,(TODAY()-H52)/(J52-H52))),""))</f>
        <v/>
      </c>
      <c r="O52" s="48" t="inlineStr">
        <is>
          <t>n</t>
        </is>
      </c>
      <c r="P52" s="49" t="n"/>
      <c r="Q52" s="50">
        <f>IF(I52="",0,IF(K52&gt;1,1,IF(IF(J52="",I52,J52)&lt;TODAY(),2,IF(J52&gt;1,3,4))))</f>
        <v/>
      </c>
      <c r="R52" s="51">
        <f>IF(H52="",0,MONTH(H52))</f>
        <v/>
      </c>
      <c r="S52" s="52" t="n"/>
      <c r="T52" s="52" t="n"/>
      <c r="U52" s="52" t="n"/>
    </row>
    <row r="53" ht="40.5" customHeight="1" s="53">
      <c r="A53" s="39" t="n"/>
      <c r="B53" s="44" t="n">
        <v>41</v>
      </c>
      <c r="C53" s="45" t="inlineStr">
        <is>
          <t>Guias / Entidades</t>
        </is>
      </c>
      <c r="D53" s="45" t="inlineStr">
        <is>
          <t>CT-GUI-008 — Visualizar detalhes do guia</t>
        </is>
      </c>
      <c r="E53" s="44" t="inlineStr">
        <is>
          <t>Painel lateral exibe todos os campos preenchidos corretamente</t>
        </is>
      </c>
      <c r="F53" s="44" t="inlineStr">
        <is>
          <t>Não existe botão de visualizar detalhes ou painel lateral; apenas formulário de edição disponível</t>
        </is>
      </c>
      <c r="G53" s="44" t="n"/>
      <c r="H53" s="46" t="n"/>
      <c r="I53" s="46" t="n"/>
      <c r="J53" s="46" t="n"/>
      <c r="K53" s="46" t="n">
        <v>46198</v>
      </c>
      <c r="L53" s="46" t="inlineStr">
        <is>
          <t>Reprovado</t>
        </is>
      </c>
      <c r="M53" s="47">
        <f>IF(K53&gt;0,100%,0%)</f>
        <v/>
      </c>
      <c r="N53" s="47">
        <f>IF(J53="",IF(I53&gt;0,IF(TODAY()&gt;=I53,1,IF(TODAY()&lt;H53,0,(TODAY()-H53)/(I53-H53))),""),IF(J53&gt;0,IF(TODAY()&gt;=J53,1,IF(TODAY()&lt;H53,0,(TODAY()-H53)/(J53-H53))),""))</f>
        <v/>
      </c>
      <c r="O53" s="48" t="inlineStr">
        <is>
          <t>n</t>
        </is>
      </c>
      <c r="P53" s="49" t="n"/>
      <c r="Q53" s="50">
        <f>IF(I53="",0,IF(K53&gt;1,1,IF(IF(J53="",I53,J53)&lt;TODAY(),2,IF(J53&gt;1,3,4))))</f>
        <v/>
      </c>
      <c r="R53" s="51">
        <f>IF(H53="",0,MONTH(H53))</f>
        <v/>
      </c>
      <c r="S53" s="52" t="n"/>
      <c r="T53" s="52" t="n"/>
      <c r="U53" s="52" t="n"/>
    </row>
    <row r="54" ht="40.5" customHeight="1" s="53">
      <c r="A54" s="39" t="n"/>
      <c r="B54" s="44" t="n">
        <v>42</v>
      </c>
      <c r="C54" s="45" t="inlineStr">
        <is>
          <t>Membros da Casa</t>
        </is>
      </c>
      <c r="D54" s="45" t="inlineStr">
        <is>
          <t>CT-MBR-001 — Listar membros</t>
        </is>
      </c>
      <c r="E54" s="44" t="inlineStr">
        <is>
          <t>Grade exibe Nome, E-mail, Status (Ativo/Inativo), data de entrada</t>
        </is>
      </c>
      <c r="F54" s="44" t="inlineStr">
        <is>
          <t>Grade de membros sem coluna Status (Ativo/Inativo) visível; resultado esperado não atendido</t>
        </is>
      </c>
      <c r="G54" s="44" t="n"/>
      <c r="H54" s="46" t="n"/>
      <c r="I54" s="46" t="n"/>
      <c r="J54" s="46" t="n"/>
      <c r="K54" s="46" t="n">
        <v>46198</v>
      </c>
      <c r="L54" s="46" t="inlineStr">
        <is>
          <t>Reprovado</t>
        </is>
      </c>
      <c r="M54" s="47">
        <f>IF(K54&gt;0,100%,0%)</f>
        <v/>
      </c>
      <c r="N54" s="47">
        <f>IF(J54="",IF(I54&gt;0,IF(TODAY()&gt;=I54,1,IF(TODAY()&lt;H54,0,(TODAY()-H54)/(I54-H54))),""),IF(J54&gt;0,IF(TODAY()&gt;=J54,1,IF(TODAY()&lt;H54,0,(TODAY()-H54)/(J54-H54))),""))</f>
        <v/>
      </c>
      <c r="O54" s="48" t="inlineStr">
        <is>
          <t>n</t>
        </is>
      </c>
      <c r="P54" s="49" t="n"/>
      <c r="Q54" s="50">
        <f>IF(I54="",0,IF(K54&gt;1,1,IF(IF(J54="",I54,J54)&lt;TODAY(),2,IF(J54&gt;1,3,4))))</f>
        <v/>
      </c>
      <c r="R54" s="51">
        <f>IF(H54="",0,MONTH(H54))</f>
        <v/>
      </c>
      <c r="S54" s="52" t="n"/>
      <c r="T54" s="52" t="n"/>
      <c r="U54" s="52" t="n"/>
    </row>
    <row r="55" hidden="1" ht="40.5" customHeight="1" s="53">
      <c r="A55" s="39" t="n"/>
      <c r="B55" s="44" t="n">
        <v>43</v>
      </c>
      <c r="C55" s="45" t="inlineStr">
        <is>
          <t>Membros da Casa</t>
        </is>
      </c>
      <c r="D55" s="45" t="inlineStr">
        <is>
          <t>CT-MBR-002 — Filtrar membros por nome/e-mail</t>
        </is>
      </c>
      <c r="E55" s="44" t="inlineStr">
        <is>
          <t>Lista filtra corretamente</t>
        </is>
      </c>
      <c r="F55" s="44" t="inlineStr">
        <is>
          <t>Filtro por nome/e-mail funcional; lista atualiza ao digitar no campo de busca</t>
        </is>
      </c>
      <c r="G55" s="44" t="n"/>
      <c r="H55" s="46" t="n"/>
      <c r="I55" s="46" t="n"/>
      <c r="J55" s="46" t="n"/>
      <c r="K55" s="46" t="n">
        <v>46198</v>
      </c>
      <c r="L55" s="46" t="inlineStr">
        <is>
          <t>Aprovado</t>
        </is>
      </c>
      <c r="M55" s="47">
        <f>IF(K55&gt;0,100%,0%)</f>
        <v/>
      </c>
      <c r="N55" s="47">
        <f>IF(J55="",IF(I55&gt;0,IF(TODAY()&gt;=I55,1,IF(TODAY()&lt;H55,0,(TODAY()-H55)/(I55-H55))),""),IF(J55&gt;0,IF(TODAY()&gt;=J55,1,IF(TODAY()&lt;H55,0,(TODAY()-H55)/(J55-H55))),""))</f>
        <v/>
      </c>
      <c r="O55" s="48" t="inlineStr">
        <is>
          <t>n</t>
        </is>
      </c>
      <c r="P55" s="49" t="n"/>
      <c r="Q55" s="50">
        <f>IF(I55="",0,IF(K55&gt;1,1,IF(IF(J55="",I55,J55)&lt;TODAY(),2,IF(J55&gt;1,3,4))))</f>
        <v/>
      </c>
      <c r="R55" s="51">
        <f>IF(H55="",0,MONTH(H55))</f>
        <v/>
      </c>
      <c r="S55" s="52" t="n"/>
      <c r="T55" s="52" t="n"/>
      <c r="U55" s="52" t="n"/>
    </row>
    <row r="56" hidden="1" ht="27" customHeight="1" s="53">
      <c r="A56" s="39" t="n"/>
      <c r="B56" s="44" t="n">
        <v>44</v>
      </c>
      <c r="C56" s="45" t="inlineStr">
        <is>
          <t>Membros da Casa</t>
        </is>
      </c>
      <c r="D56" s="45" t="inlineStr">
        <is>
          <t>CT-MBR-003 — Criar membro com dados obrigatórios</t>
        </is>
      </c>
      <c r="E56" s="44" t="inlineStr">
        <is>
          <t>Membro criado e exibido na lista</t>
        </is>
      </c>
      <c r="F56" s="44" t="inlineStr">
        <is>
          <t>Membro criado com nome completo; listado após criação</t>
        </is>
      </c>
      <c r="G56" s="44" t="n"/>
      <c r="H56" s="46" t="n"/>
      <c r="I56" s="46" t="n"/>
      <c r="J56" s="46" t="n"/>
      <c r="K56" s="46" t="n">
        <v>46198</v>
      </c>
      <c r="L56" s="46" t="inlineStr">
        <is>
          <t>Aprovado</t>
        </is>
      </c>
      <c r="M56" s="47">
        <f>IF(K56&gt;0,100%,0%)</f>
        <v/>
      </c>
      <c r="N56" s="47">
        <f>IF(J56="",IF(I56&gt;0,IF(TODAY()&gt;=I56,1,IF(TODAY()&lt;H56,0,(TODAY()-H56)/(I56-H56))),""),IF(J56&gt;0,IF(TODAY()&gt;=J56,1,IF(TODAY()&lt;H56,0,(TODAY()-H56)/(J56-H56))),""))</f>
        <v/>
      </c>
      <c r="O56" s="48" t="inlineStr">
        <is>
          <t>n</t>
        </is>
      </c>
      <c r="P56" s="49" t="n"/>
      <c r="Q56" s="50">
        <f>IF(I56="",0,IF(K56&gt;1,1,IF(IF(J56="",I56,J56)&lt;TODAY(),2,IF(J56&gt;1,3,4))))</f>
        <v/>
      </c>
      <c r="R56" s="51">
        <f>IF(H56="",0,MONTH(H56))</f>
        <v/>
      </c>
      <c r="S56" s="52" t="n"/>
      <c r="T56" s="52" t="n"/>
      <c r="U56" s="52" t="n"/>
    </row>
    <row r="57" hidden="1" ht="40.5" customHeight="1" s="53">
      <c r="A57" s="39" t="n"/>
      <c r="B57" s="44" t="n">
        <v>45</v>
      </c>
      <c r="C57" s="45" t="inlineStr">
        <is>
          <t>Membros da Casa</t>
        </is>
      </c>
      <c r="D57" s="45" t="inlineStr">
        <is>
          <t>CT-MBR-004 — Criar membro sem nome</t>
        </is>
      </c>
      <c r="E57" s="44" t="inlineStr">
        <is>
          <t>Erro de validação no campo Nome</t>
        </is>
      </c>
      <c r="F57" s="44" t="inlineStr">
        <is>
          <t>Erro 'Nome é obrigatório' exibido ao tentar criar membro sem nome</t>
        </is>
      </c>
      <c r="G57" s="44" t="n"/>
      <c r="H57" s="46" t="n"/>
      <c r="I57" s="46" t="n"/>
      <c r="J57" s="46" t="n"/>
      <c r="K57" s="46" t="n">
        <v>46198</v>
      </c>
      <c r="L57" s="46" t="inlineStr">
        <is>
          <t>Aprovado</t>
        </is>
      </c>
      <c r="M57" s="47">
        <f>IF(K57&gt;0,100%,0%)</f>
        <v/>
      </c>
      <c r="N57" s="47">
        <f>IF(J57="",IF(I57&gt;0,IF(TODAY()&gt;=I57,1,IF(TODAY()&lt;H57,0,(TODAY()-H57)/(I57-H57))),""),IF(J57&gt;0,IF(TODAY()&gt;=J57,1,IF(TODAY()&lt;H57,0,(TODAY()-H57)/(J57-H57))),""))</f>
        <v/>
      </c>
      <c r="O57" s="48" t="inlineStr">
        <is>
          <t>n</t>
        </is>
      </c>
      <c r="P57" s="49" t="n"/>
      <c r="Q57" s="50">
        <f>IF(I57="",0,IF(K57&gt;1,1,IF(IF(J57="",I57,J57)&lt;TODAY(),2,IF(J57&gt;1,3,4))))</f>
        <v/>
      </c>
      <c r="R57" s="51">
        <f>IF(H57="",0,MONTH(H57))</f>
        <v/>
      </c>
      <c r="S57" s="52" t="n"/>
      <c r="T57" s="52" t="n"/>
      <c r="U57" s="52" t="n"/>
    </row>
    <row r="58" hidden="1" ht="40.5" customHeight="1" s="53">
      <c r="A58" s="39" t="n"/>
      <c r="B58" s="44" t="n">
        <v>46</v>
      </c>
      <c r="C58" s="45" t="inlineStr">
        <is>
          <t>Membros da Casa</t>
        </is>
      </c>
      <c r="D58" s="45" t="inlineStr">
        <is>
          <t>CT-MBR-005 — Criar membro com e-mail inválido</t>
        </is>
      </c>
      <c r="E58" s="44" t="inlineStr">
        <is>
          <t>Erro de validação no campo E-mail</t>
        </is>
      </c>
      <c r="F58" s="44" t="inlineStr">
        <is>
          <t>Erro de validação exibido ao inserir e-mail com formato inválido</t>
        </is>
      </c>
      <c r="G58" s="44" t="n"/>
      <c r="H58" s="46" t="n"/>
      <c r="I58" s="46" t="n"/>
      <c r="J58" s="46" t="n"/>
      <c r="K58" s="46" t="n">
        <v>46198</v>
      </c>
      <c r="L58" s="46" t="inlineStr">
        <is>
          <t>Aprovado</t>
        </is>
      </c>
      <c r="M58" s="47">
        <f>IF(K58&gt;0,100%,0%)</f>
        <v/>
      </c>
      <c r="N58" s="47">
        <f>IF(J58="",IF(I58&gt;0,IF(TODAY()&gt;=I58,1,IF(TODAY()&lt;H58,0,(TODAY()-H58)/(I58-H58))),""),IF(J58&gt;0,IF(TODAY()&gt;=J58,1,IF(TODAY()&lt;H58,0,(TODAY()-H58)/(J58-H58))),""))</f>
        <v/>
      </c>
      <c r="O58" s="48" t="inlineStr">
        <is>
          <t>n</t>
        </is>
      </c>
      <c r="P58" s="49" t="n"/>
      <c r="Q58" s="50">
        <f>IF(I58="",0,IF(K58&gt;1,1,IF(IF(J58="",I58,J58)&lt;TODAY(),2,IF(J58&gt;1,3,4))))</f>
        <v/>
      </c>
      <c r="R58" s="51">
        <f>IF(H58="",0,MONTH(H58))</f>
        <v/>
      </c>
      <c r="S58" s="52" t="n"/>
      <c r="T58" s="52" t="n"/>
      <c r="U58" s="52" t="n"/>
    </row>
    <row r="59" hidden="1" ht="40.5" customHeight="1" s="53">
      <c r="A59" s="39" t="n"/>
      <c r="B59" s="44" t="n">
        <v>47</v>
      </c>
      <c r="C59" s="45" t="inlineStr">
        <is>
          <t>Membros da Casa</t>
        </is>
      </c>
      <c r="D59" s="45" t="inlineStr">
        <is>
          <t>CT-MBR-006 — Editar dados de membro</t>
        </is>
      </c>
      <c r="E59" s="44" t="inlineStr">
        <is>
          <t>Dados atualizados na grade</t>
        </is>
      </c>
      <c r="F59" s="44" t="inlineStr">
        <is>
          <t>Dados de membro editados com sucesso; alterações refletidas na lista</t>
        </is>
      </c>
      <c r="G59" s="44" t="n"/>
      <c r="H59" s="46" t="n"/>
      <c r="I59" s="46" t="n"/>
      <c r="J59" s="46" t="n"/>
      <c r="K59" s="46" t="n">
        <v>46198</v>
      </c>
      <c r="L59" s="46" t="inlineStr">
        <is>
          <t>Aprovado</t>
        </is>
      </c>
      <c r="M59" s="47">
        <f>IF(K59&gt;0,100%,0%)</f>
        <v/>
      </c>
      <c r="N59" s="47">
        <f>IF(J59="",IF(I59&gt;0,IF(TODAY()&gt;=I59,1,IF(TODAY()&lt;H59,0,(TODAY()-H59)/(I59-H59))),""),IF(J59&gt;0,IF(TODAY()&gt;=J59,1,IF(TODAY()&lt;H59,0,(TODAY()-H59)/(J59-H59))),""))</f>
        <v/>
      </c>
      <c r="O59" s="48" t="inlineStr">
        <is>
          <t>n</t>
        </is>
      </c>
      <c r="P59" s="49" t="n"/>
      <c r="Q59" s="50">
        <f>IF(I59="",0,IF(K59&gt;1,1,IF(IF(J59="",I59,J59)&lt;TODAY(),2,IF(J59&gt;1,3,4))))</f>
        <v/>
      </c>
      <c r="R59" s="51">
        <f>IF(H59="",0,MONTH(H59))</f>
        <v/>
      </c>
      <c r="S59" s="52" t="n"/>
      <c r="T59" s="52" t="n"/>
      <c r="U59" s="52" t="n"/>
    </row>
    <row r="60" hidden="1" ht="27" customHeight="1" s="53">
      <c r="A60" s="39" t="n"/>
      <c r="B60" s="44" t="n">
        <v>48</v>
      </c>
      <c r="C60" s="45" t="inlineStr">
        <is>
          <t>Membros da Casa</t>
        </is>
      </c>
      <c r="D60" s="45" t="inlineStr">
        <is>
          <t>CT-MBR-007 — Ativar/desativar membro</t>
        </is>
      </c>
      <c r="E60" s="44" t="inlineStr">
        <is>
          <t>Chip de status atualizado na lista</t>
        </is>
      </c>
      <c r="F60" s="44" t="inlineStr">
        <is>
          <t>Toggle Ativo/Inativo funcional no formulário de edição do membro</t>
        </is>
      </c>
      <c r="G60" s="44" t="n"/>
      <c r="H60" s="46" t="n"/>
      <c r="I60" s="46" t="n"/>
      <c r="J60" s="46" t="n"/>
      <c r="K60" s="46" t="n">
        <v>46198</v>
      </c>
      <c r="L60" s="46" t="inlineStr">
        <is>
          <t>Aprovado</t>
        </is>
      </c>
      <c r="M60" s="47">
        <f>IF(K60&gt;0,100%,0%)</f>
        <v/>
      </c>
      <c r="N60" s="47">
        <f>IF(J60="",IF(I60&gt;0,IF(TODAY()&gt;=I60,1,IF(TODAY()&lt;H60,0,(TODAY()-H60)/(I60-H60))),""),IF(J60&gt;0,IF(TODAY()&gt;=J60,1,IF(TODAY()&lt;H60,0,(TODAY()-H60)/(J60-H60))),""))</f>
        <v/>
      </c>
      <c r="O60" s="48" t="inlineStr">
        <is>
          <t>n</t>
        </is>
      </c>
      <c r="P60" s="49" t="n"/>
      <c r="Q60" s="50">
        <f>IF(I60="",0,IF(K60&gt;1,1,IF(IF(J60="",I60,J60)&lt;TODAY(),2,IF(J60&gt;1,3,4))))</f>
        <v/>
      </c>
      <c r="R60" s="51">
        <f>IF(H60="",0,MONTH(H60))</f>
        <v/>
      </c>
      <c r="S60" s="52" t="n"/>
      <c r="T60" s="52" t="n"/>
      <c r="U60" s="52" t="n"/>
    </row>
    <row r="61" hidden="1" ht="27" customHeight="1" s="53">
      <c r="A61" s="39" t="n"/>
      <c r="B61" s="44" t="n">
        <v>49</v>
      </c>
      <c r="C61" s="45" t="inlineStr">
        <is>
          <t>Membros da Casa</t>
        </is>
      </c>
      <c r="D61" s="45" t="inlineStr">
        <is>
          <t>CT-MBR-008 — Excluir membro</t>
        </is>
      </c>
      <c r="E61" s="44" t="inlineStr">
        <is>
          <t>Membro removido da lista</t>
        </is>
      </c>
      <c r="F61" s="44" t="inlineStr">
        <is>
          <t>Membro excluído após confirmação; removido da lista</t>
        </is>
      </c>
      <c r="G61" s="44" t="n"/>
      <c r="H61" s="46" t="n"/>
      <c r="I61" s="46" t="n"/>
      <c r="J61" s="46" t="n"/>
      <c r="K61" s="46" t="n">
        <v>46198</v>
      </c>
      <c r="L61" s="46" t="inlineStr">
        <is>
          <t>Aprovado</t>
        </is>
      </c>
      <c r="M61" s="47">
        <f>IF(K61&gt;0,100%,0%)</f>
        <v/>
      </c>
      <c r="N61" s="47">
        <f>IF(J61="",IF(I61&gt;0,IF(TODAY()&gt;=I61,1,IF(TODAY()&lt;H61,0,(TODAY()-H61)/(I61-H61))),""),IF(J61&gt;0,IF(TODAY()&gt;=J61,1,IF(TODAY()&lt;H61,0,(TODAY()-H61)/(J61-H61))),""))</f>
        <v/>
      </c>
      <c r="O61" s="48" t="inlineStr">
        <is>
          <t>n</t>
        </is>
      </c>
      <c r="P61" s="49" t="n"/>
      <c r="Q61" s="50">
        <f>IF(I61="",0,IF(K61&gt;1,1,IF(IF(J61="",I61,J61)&lt;TODAY(),2,IF(J61&gt;1,3,4))))</f>
        <v/>
      </c>
      <c r="R61" s="51">
        <f>IF(H61="",0,MONTH(H61))</f>
        <v/>
      </c>
      <c r="S61" s="52" t="n"/>
      <c r="T61" s="52" t="n"/>
      <c r="U61" s="52" t="n"/>
    </row>
    <row r="62" hidden="1" ht="40.5" customHeight="1" s="53">
      <c r="A62" s="39" t="n"/>
      <c r="B62" s="44" t="n">
        <v>50</v>
      </c>
      <c r="C62" s="45" t="inlineStr">
        <is>
          <t>Membros da Casa</t>
        </is>
      </c>
      <c r="D62" s="45" t="inlineStr">
        <is>
          <t>CT-MBR-009 — Adicionar contribuição a um membro</t>
        </is>
      </c>
      <c r="E62" s="44" t="inlineStr">
        <is>
          <t>Contribuição registrada e visível na aba de contribuições do membro</t>
        </is>
      </c>
      <c r="F62" s="44" t="inlineStr">
        <is>
          <t>Contribuição adicionada ao membro com sucesso via sub-CRUD</t>
        </is>
      </c>
      <c r="G62" s="44" t="n"/>
      <c r="H62" s="46" t="n"/>
      <c r="I62" s="46" t="n"/>
      <c r="J62" s="46" t="n"/>
      <c r="K62" s="46" t="n">
        <v>46198</v>
      </c>
      <c r="L62" s="46" t="inlineStr">
        <is>
          <t>Aprovado</t>
        </is>
      </c>
      <c r="M62" s="47">
        <f>IF(K62&gt;0,100%,0%)</f>
        <v/>
      </c>
      <c r="N62" s="47">
        <f>IF(J62="",IF(I62&gt;0,IF(TODAY()&gt;=I62,1,IF(TODAY()&lt;H62,0,(TODAY()-H62)/(I62-H62))),""),IF(J62&gt;0,IF(TODAY()&gt;=J62,1,IF(TODAY()&lt;H62,0,(TODAY()-H62)/(J62-H62))),""))</f>
        <v/>
      </c>
      <c r="O62" s="48" t="inlineStr">
        <is>
          <t>n</t>
        </is>
      </c>
      <c r="P62" s="49" t="n"/>
      <c r="Q62" s="50">
        <f>IF(I62="",0,IF(K62&gt;1,1,IF(IF(J62="",I62,J62)&lt;TODAY(),2,IF(J62&gt;1,3,4))))</f>
        <v/>
      </c>
      <c r="R62" s="51">
        <f>IF(H62="",0,MONTH(H62))</f>
        <v/>
      </c>
      <c r="S62" s="52" t="n"/>
      <c r="T62" s="52" t="n"/>
      <c r="U62" s="52" t="n"/>
    </row>
    <row r="63" hidden="1" ht="27" customHeight="1" s="53">
      <c r="A63" s="39" t="n"/>
      <c r="B63" s="44" t="n">
        <v>51</v>
      </c>
      <c r="C63" s="45" t="inlineStr">
        <is>
          <t>Membros da Casa</t>
        </is>
      </c>
      <c r="D63" s="45" t="inlineStr">
        <is>
          <t>CT-MBR-010 — Registrar pagamento de contribuição</t>
        </is>
      </c>
      <c r="E63" s="44" t="inlineStr">
        <is>
          <t>Status atualizado para 'Pago'; data de pagamento exibida</t>
        </is>
      </c>
      <c r="F63" s="44" t="inlineStr">
        <is>
          <t>Pagamento de contribuição registrado com sucesso</t>
        </is>
      </c>
      <c r="G63" s="44" t="n"/>
      <c r="H63" s="46" t="n"/>
      <c r="I63" s="46" t="n"/>
      <c r="J63" s="46" t="n"/>
      <c r="K63" s="46" t="n">
        <v>46198</v>
      </c>
      <c r="L63" s="46" t="inlineStr">
        <is>
          <t>Aprovado</t>
        </is>
      </c>
      <c r="M63" s="47">
        <f>IF(K63&gt;0,100%,0%)</f>
        <v/>
      </c>
      <c r="N63" s="47">
        <f>IF(J63="",IF(I63&gt;0,IF(TODAY()&gt;=I63,1,IF(TODAY()&lt;H63,0,(TODAY()-H63)/(I63-H63))),""),IF(J63&gt;0,IF(TODAY()&gt;=J63,1,IF(TODAY()&lt;H63,0,(TODAY()-H63)/(J63-H63))),""))</f>
        <v/>
      </c>
      <c r="O63" s="48" t="inlineStr">
        <is>
          <t>n</t>
        </is>
      </c>
      <c r="P63" s="49" t="n"/>
      <c r="Q63" s="50">
        <f>IF(I63="",0,IF(K63&gt;1,1,IF(IF(J63="",I63,J63)&lt;TODAY(),2,IF(J63&gt;1,3,4))))</f>
        <v/>
      </c>
      <c r="R63" s="51">
        <f>IF(H63="",0,MONTH(H63))</f>
        <v/>
      </c>
      <c r="S63" s="52" t="n"/>
      <c r="T63" s="52" t="n"/>
      <c r="U63" s="52" t="n"/>
    </row>
    <row r="64" hidden="1" ht="27" customHeight="1" s="53">
      <c r="A64" s="39" t="n"/>
      <c r="B64" s="44" t="n">
        <v>52</v>
      </c>
      <c r="C64" s="45" t="inlineStr">
        <is>
          <t>Membros da Casa</t>
        </is>
      </c>
      <c r="D64" s="45" t="inlineStr">
        <is>
          <t>CT-MBR-011 — Editar contribuição existente</t>
        </is>
      </c>
      <c r="E64" s="44" t="inlineStr">
        <is>
          <t>Dados da contribuição atualizados</t>
        </is>
      </c>
      <c r="F64" s="44" t="inlineStr">
        <is>
          <t>Contribuição editada com sucesso; valores atualizados</t>
        </is>
      </c>
      <c r="G64" s="44" t="n"/>
      <c r="H64" s="46" t="n"/>
      <c r="I64" s="46" t="n"/>
      <c r="J64" s="46" t="n"/>
      <c r="K64" s="46" t="n">
        <v>46198</v>
      </c>
      <c r="L64" s="46" t="inlineStr">
        <is>
          <t>Aprovado</t>
        </is>
      </c>
      <c r="M64" s="47">
        <f>IF(K64&gt;0,100%,0%)</f>
        <v/>
      </c>
      <c r="N64" s="47">
        <f>IF(J64="",IF(I64&gt;0,IF(TODAY()&gt;=I64,1,IF(TODAY()&lt;H64,0,(TODAY()-H64)/(I64-H64))),""),IF(J64&gt;0,IF(TODAY()&gt;=J64,1,IF(TODAY()&lt;H64,0,(TODAY()-H64)/(J64-H64))),""))</f>
        <v/>
      </c>
      <c r="O64" s="48" t="inlineStr">
        <is>
          <t>n</t>
        </is>
      </c>
      <c r="P64" s="49" t="n"/>
      <c r="Q64" s="50">
        <f>IF(I64="",0,IF(K64&gt;1,1,IF(IF(J64="",I64,J64)&lt;TODAY(),2,IF(J64&gt;1,3,4))))</f>
        <v/>
      </c>
      <c r="R64" s="51">
        <f>IF(H64="",0,MONTH(H64))</f>
        <v/>
      </c>
      <c r="S64" s="52" t="n"/>
      <c r="T64" s="52" t="n"/>
      <c r="U64" s="52" t="n"/>
    </row>
    <row r="65" hidden="1" ht="27" customHeight="1" s="53">
      <c r="A65" s="39" t="n"/>
      <c r="B65" s="44" t="n">
        <v>53</v>
      </c>
      <c r="C65" s="45" t="inlineStr">
        <is>
          <t>Membros da Casa</t>
        </is>
      </c>
      <c r="D65" s="45" t="inlineStr">
        <is>
          <t>CT-MBR-012 — Excluir contribuição</t>
        </is>
      </c>
      <c r="E65" s="44" t="inlineStr">
        <is>
          <t>Contribuição removida da lista do membro</t>
        </is>
      </c>
      <c r="F65" s="44" t="inlineStr">
        <is>
          <t>Contribuição excluída com sucesso após confirmação</t>
        </is>
      </c>
      <c r="G65" s="44" t="n"/>
      <c r="H65" s="46" t="n"/>
      <c r="I65" s="46" t="n"/>
      <c r="J65" s="46" t="n"/>
      <c r="K65" s="46" t="n">
        <v>46198</v>
      </c>
      <c r="L65" s="46" t="inlineStr">
        <is>
          <t>Aprovado</t>
        </is>
      </c>
      <c r="M65" s="47">
        <f>IF(K65&gt;0,100%,0%)</f>
        <v/>
      </c>
      <c r="N65" s="47">
        <f>IF(J65="",IF(I65&gt;0,IF(TODAY()&gt;=I65,1,IF(TODAY()&lt;H65,0,(TODAY()-H65)/(I65-H65))),""),IF(J65&gt;0,IF(TODAY()&gt;=J65,1,IF(TODAY()&lt;H65,0,(TODAY()-H65)/(J65-H65))),""))</f>
        <v/>
      </c>
      <c r="O65" s="48" t="inlineStr">
        <is>
          <t>n</t>
        </is>
      </c>
      <c r="P65" s="49" t="n"/>
      <c r="Q65" s="50">
        <f>IF(I65="",0,IF(K65&gt;1,1,IF(IF(J65="",I65,J65)&lt;TODAY(),2,IF(J65&gt;1,3,4))))</f>
        <v/>
      </c>
      <c r="R65" s="51">
        <f>IF(H65="",0,MONTH(H65))</f>
        <v/>
      </c>
      <c r="S65" s="52" t="n"/>
      <c r="T65" s="52" t="n"/>
      <c r="U65" s="52" t="n"/>
    </row>
    <row r="66" hidden="1" ht="40.5" customHeight="1" s="53">
      <c r="A66" s="39" t="n"/>
      <c r="B66" s="44" t="n">
        <v>54</v>
      </c>
      <c r="C66" s="45" t="inlineStr">
        <is>
          <t>Orixás</t>
        </is>
      </c>
      <c r="D66" s="45" t="inlineStr">
        <is>
          <t>CT-ORI-001 — Listar orixás</t>
        </is>
      </c>
      <c r="E66" s="44" t="inlineStr">
        <is>
          <t>Lista exibindo Nome, Cores, Ordem de Exibição</t>
        </is>
      </c>
      <c r="F66" s="44" t="inlineStr">
        <is>
          <t>Lista de orixás exibida com colunas Nome, Cores, Status e paginação funcional</t>
        </is>
      </c>
      <c r="G66" s="44" t="n"/>
      <c r="H66" s="46" t="n"/>
      <c r="I66" s="46" t="n"/>
      <c r="J66" s="46" t="n"/>
      <c r="K66" s="46" t="n">
        <v>46198</v>
      </c>
      <c r="L66" s="46" t="inlineStr">
        <is>
          <t>Aprovado</t>
        </is>
      </c>
      <c r="M66" s="47">
        <f>IF(K66&gt;0,100%,0%)</f>
        <v/>
      </c>
      <c r="N66" s="47">
        <f>IF(J66="",IF(I66&gt;0,IF(TODAY()&gt;=I66,1,IF(TODAY()&lt;H66,0,(TODAY()-H66)/(I66-H66))),""),IF(J66&gt;0,IF(TODAY()&gt;=J66,1,IF(TODAY()&lt;H66,0,(TODAY()-H66)/(J66-H66))),""))</f>
        <v/>
      </c>
      <c r="O66" s="48" t="inlineStr">
        <is>
          <t>n</t>
        </is>
      </c>
      <c r="P66" s="49" t="n"/>
      <c r="Q66" s="50">
        <f>IF(I66="",0,IF(K66&gt;1,1,IF(IF(J66="",I66,J66)&lt;TODAY(),2,IF(J66&gt;1,3,4))))</f>
        <v/>
      </c>
      <c r="R66" s="51">
        <f>IF(H66="",0,MONTH(H66))</f>
        <v/>
      </c>
      <c r="S66" s="52" t="n"/>
      <c r="T66" s="52" t="n"/>
      <c r="U66" s="52" t="n"/>
    </row>
    <row r="67" ht="53.25" customHeight="1" s="53">
      <c r="A67" s="39" t="n"/>
      <c r="B67" s="44" t="n">
        <v>55</v>
      </c>
      <c r="C67" s="45" t="inlineStr">
        <is>
          <t>Orixás</t>
        </is>
      </c>
      <c r="D67" s="45" t="inlineStr">
        <is>
          <t>CT-ORI-002 — Criar orixá com dados válidos</t>
        </is>
      </c>
      <c r="E67" s="44" t="inlineStr">
        <is>
          <t>Orixá criado e listado com swatches de cores exibidos corretamente</t>
        </is>
      </c>
      <c r="F67" s="44" t="inlineStr">
        <is>
          <t>Criação de orixá falhou; campo de cores com formato inválido causou erro silencioso sem feedback ao usuário</t>
        </is>
      </c>
      <c r="G67" s="44" t="n"/>
      <c r="H67" s="46" t="n"/>
      <c r="I67" s="46" t="n"/>
      <c r="J67" s="46" t="n"/>
      <c r="K67" s="46" t="n">
        <v>46198</v>
      </c>
      <c r="L67" s="46" t="inlineStr">
        <is>
          <t>Reprovado</t>
        </is>
      </c>
      <c r="M67" s="47">
        <f>IF(K67&gt;0,100%,0%)</f>
        <v/>
      </c>
      <c r="N67" s="47">
        <f>IF(J67="",IF(I67&gt;0,IF(TODAY()&gt;=I67,1,IF(TODAY()&lt;H67,0,(TODAY()-H67)/(I67-H67))),""),IF(J67&gt;0,IF(TODAY()&gt;=J67,1,IF(TODAY()&lt;H67,0,(TODAY()-H67)/(J67-H67))),""))</f>
        <v/>
      </c>
      <c r="O67" s="48" t="inlineStr">
        <is>
          <t>n</t>
        </is>
      </c>
      <c r="P67" s="49" t="n"/>
      <c r="Q67" s="50">
        <f>IF(I67="",0,IF(K67&gt;1,1,IF(IF(J67="",I67,J67)&lt;TODAY(),2,IF(J67&gt;1,3,4))))</f>
        <v/>
      </c>
      <c r="R67" s="51">
        <f>IF(H67="",0,MONTH(H67))</f>
        <v/>
      </c>
      <c r="S67" s="52" t="n"/>
      <c r="T67" s="52" t="n"/>
      <c r="U67" s="52" t="n"/>
    </row>
    <row r="68" hidden="1" ht="27" customHeight="1" s="53">
      <c r="A68" s="39" t="n"/>
      <c r="B68" s="44" t="n">
        <v>56</v>
      </c>
      <c r="C68" s="45" t="inlineStr">
        <is>
          <t>Orixás</t>
        </is>
      </c>
      <c r="D68" s="45" t="inlineStr">
        <is>
          <t>CT-ORI-003 — Criar orixá sem nome</t>
        </is>
      </c>
      <c r="E68" s="44" t="inlineStr">
        <is>
          <t>Erro 'Nome é obrigatório'</t>
        </is>
      </c>
      <c r="F68" s="44" t="inlineStr">
        <is>
          <t>Erro 'Nome é obrigatório' exibido ao tentar criar orixá sem nome</t>
        </is>
      </c>
      <c r="G68" s="44" t="n"/>
      <c r="H68" s="46" t="n"/>
      <c r="I68" s="46" t="n"/>
      <c r="J68" s="46" t="n"/>
      <c r="K68" s="46" t="n">
        <v>46198</v>
      </c>
      <c r="L68" s="46" t="inlineStr">
        <is>
          <t>Aprovado</t>
        </is>
      </c>
      <c r="M68" s="47">
        <f>IF(K68&gt;0,100%,0%)</f>
        <v/>
      </c>
      <c r="N68" s="47">
        <f>IF(J68="",IF(I68&gt;0,IF(TODAY()&gt;=I68,1,IF(TODAY()&lt;H68,0,(TODAY()-H68)/(I68-H68))),""),IF(J68&gt;0,IF(TODAY()&gt;=J68,1,IF(TODAY()&lt;H68,0,(TODAY()-H68)/(J68-H68))),""))</f>
        <v/>
      </c>
      <c r="O68" s="48" t="inlineStr">
        <is>
          <t>n</t>
        </is>
      </c>
      <c r="P68" s="49" t="n"/>
      <c r="Q68" s="50">
        <f>IF(I68="",0,IF(K68&gt;1,1,IF(IF(J68="",I68,J68)&lt;TODAY(),2,IF(J68&gt;1,3,4))))</f>
        <v/>
      </c>
      <c r="R68" s="51">
        <f>IF(H68="",0,MONTH(H68))</f>
        <v/>
      </c>
      <c r="S68" s="52" t="n"/>
      <c r="T68" s="52" t="n"/>
      <c r="U68" s="52" t="n"/>
    </row>
    <row r="69" hidden="1" ht="27" customHeight="1" s="53">
      <c r="A69" s="39" t="n"/>
      <c r="B69" s="44" t="n">
        <v>57</v>
      </c>
      <c r="C69" s="45" t="inlineStr">
        <is>
          <t>Orixás</t>
        </is>
      </c>
      <c r="D69" s="45" t="inlineStr">
        <is>
          <t>CT-ORI-004 — Criar orixá sem cores</t>
        </is>
      </c>
      <c r="E69" s="44" t="inlineStr">
        <is>
          <t>Erro 'Informe pelo menos uma cor'</t>
        </is>
      </c>
      <c r="F69" s="44" t="inlineStr">
        <is>
          <t>Erro de validação exibido ao tentar criar orixá sem cores</t>
        </is>
      </c>
      <c r="G69" s="44" t="n"/>
      <c r="H69" s="46" t="n"/>
      <c r="I69" s="46" t="n"/>
      <c r="J69" s="46" t="n"/>
      <c r="K69" s="46" t="n">
        <v>46198</v>
      </c>
      <c r="L69" s="46" t="inlineStr">
        <is>
          <t>Aprovado</t>
        </is>
      </c>
      <c r="M69" s="47">
        <f>IF(K69&gt;0,100%,0%)</f>
        <v/>
      </c>
      <c r="N69" s="47">
        <f>IF(J69="",IF(I69&gt;0,IF(TODAY()&gt;=I69,1,IF(TODAY()&lt;H69,0,(TODAY()-H69)/(I69-H69))),""),IF(J69&gt;0,IF(TODAY()&gt;=J69,1,IF(TODAY()&lt;H69,0,(TODAY()-H69)/(J69-H69))),""))</f>
        <v/>
      </c>
      <c r="O69" s="48" t="inlineStr">
        <is>
          <t>n</t>
        </is>
      </c>
      <c r="P69" s="49" t="n"/>
      <c r="Q69" s="50">
        <f>IF(I69="",0,IF(K69&gt;1,1,IF(IF(J69="",I69,J69)&lt;TODAY(),2,IF(J69&gt;1,3,4))))</f>
        <v/>
      </c>
      <c r="R69" s="51">
        <f>IF(H69="",0,MONTH(H69))</f>
        <v/>
      </c>
      <c r="S69" s="52" t="n"/>
      <c r="T69" s="52" t="n"/>
      <c r="U69" s="52" t="n"/>
    </row>
    <row r="70" hidden="1" ht="40.5" customHeight="1" s="53">
      <c r="A70" s="39" t="n"/>
      <c r="B70" s="44" t="n">
        <v>58</v>
      </c>
      <c r="C70" s="45" t="inlineStr">
        <is>
          <t>Orixás</t>
        </is>
      </c>
      <c r="D70" s="45" t="inlineStr">
        <is>
          <t>CT-ORI-005 — Verificar swatches de cores</t>
        </is>
      </c>
      <c r="E70" s="44" t="inlineStr">
        <is>
          <t>Swatches coloridos exibidos na lista correspondendo às cores informadas</t>
        </is>
      </c>
      <c r="F70" s="44" t="inlineStr">
        <is>
          <t>Swatches de cores exibidos corretamente com preview visual das cores cadastradas</t>
        </is>
      </c>
      <c r="G70" s="44" t="n"/>
      <c r="H70" s="46" t="n"/>
      <c r="I70" s="46" t="n"/>
      <c r="J70" s="46" t="n"/>
      <c r="K70" s="46" t="n">
        <v>46198</v>
      </c>
      <c r="L70" s="46" t="inlineStr">
        <is>
          <t>Aprovado</t>
        </is>
      </c>
      <c r="M70" s="47">
        <f>IF(K70&gt;0,100%,0%)</f>
        <v/>
      </c>
      <c r="N70" s="47">
        <f>IF(J70="",IF(I70&gt;0,IF(TODAY()&gt;=I70,1,IF(TODAY()&lt;H70,0,(TODAY()-H70)/(I70-H70))),""),IF(J70&gt;0,IF(TODAY()&gt;=J70,1,IF(TODAY()&lt;H70,0,(TODAY()-H70)/(J70-H70))),""))</f>
        <v/>
      </c>
      <c r="O70" s="48" t="inlineStr">
        <is>
          <t>n</t>
        </is>
      </c>
      <c r="P70" s="49" t="n"/>
      <c r="Q70" s="50">
        <f>IF(I70="",0,IF(K70&gt;1,1,IF(IF(J70="",I70,J70)&lt;TODAY(),2,IF(J70&gt;1,3,4))))</f>
        <v/>
      </c>
      <c r="R70" s="51">
        <f>IF(H70="",0,MONTH(H70))</f>
        <v/>
      </c>
      <c r="S70" s="52" t="n"/>
      <c r="T70" s="52" t="n"/>
      <c r="U70" s="52" t="n"/>
    </row>
    <row r="71" hidden="1" ht="27" customHeight="1" s="53">
      <c r="A71" s="39" t="n"/>
      <c r="B71" s="44" t="n">
        <v>59</v>
      </c>
      <c r="C71" s="45" t="inlineStr">
        <is>
          <t>Orixás</t>
        </is>
      </c>
      <c r="D71" s="45" t="inlineStr">
        <is>
          <t>CT-ORI-006 — Editar orixá</t>
        </is>
      </c>
      <c r="E71" s="44" t="inlineStr">
        <is>
          <t>Alterações refletidas na lista</t>
        </is>
      </c>
      <c r="F71" s="44" t="inlineStr">
        <is>
          <t>Orixá editado com sucesso; alterações refletidas na lista</t>
        </is>
      </c>
      <c r="G71" s="44" t="n"/>
      <c r="H71" s="46" t="n"/>
      <c r="I71" s="46" t="n"/>
      <c r="J71" s="46" t="n"/>
      <c r="K71" s="46" t="n">
        <v>46198</v>
      </c>
      <c r="L71" s="46" t="inlineStr">
        <is>
          <t>Aprovado</t>
        </is>
      </c>
      <c r="M71" s="47">
        <f>IF(K71&gt;0,100%,0%)</f>
        <v/>
      </c>
      <c r="N71" s="47">
        <f>IF(J71="",IF(I71&gt;0,IF(TODAY()&gt;=I71,1,IF(TODAY()&lt;H71,0,(TODAY()-H71)/(I71-H71))),""),IF(J71&gt;0,IF(TODAY()&gt;=J71,1,IF(TODAY()&lt;H71,0,(TODAY()-H71)/(J71-H71))),""))</f>
        <v/>
      </c>
      <c r="O71" s="48" t="inlineStr">
        <is>
          <t>n</t>
        </is>
      </c>
      <c r="P71" s="49" t="n"/>
      <c r="Q71" s="50">
        <f>IF(I71="",0,IF(K71&gt;1,1,IF(IF(J71="",I71,J71)&lt;TODAY(),2,IF(J71&gt;1,3,4))))</f>
        <v/>
      </c>
      <c r="R71" s="51">
        <f>IF(H71="",0,MONTH(H71))</f>
        <v/>
      </c>
      <c r="S71" s="52" t="n"/>
      <c r="T71" s="52" t="n"/>
      <c r="U71" s="52" t="n"/>
    </row>
    <row r="72" hidden="1" ht="53.25" customHeight="1" s="53">
      <c r="A72" s="39" t="n"/>
      <c r="B72" s="44" t="n">
        <v>60</v>
      </c>
      <c r="C72" s="45" t="inlineStr">
        <is>
          <t>Orixás</t>
        </is>
      </c>
      <c r="D72" s="45" t="inlineStr">
        <is>
          <t>CT-ORI-007 — Excluir orixá</t>
        </is>
      </c>
      <c r="E72" s="44" t="inlineStr">
        <is>
          <t>Orixá removido da lista</t>
        </is>
      </c>
      <c r="F72" s="44" t="inlineStr">
        <is>
          <t>BLOQUEADO — exclusão de orixá não testada por risco de violação de integridade referencial com membros vinculados</t>
        </is>
      </c>
      <c r="G72" s="44" t="n"/>
      <c r="H72" s="46" t="n"/>
      <c r="I72" s="46" t="n"/>
      <c r="J72" s="46" t="n"/>
      <c r="K72" s="46" t="n">
        <v>46198</v>
      </c>
      <c r="L72" s="46" t="inlineStr">
        <is>
          <t>Bloqueado</t>
        </is>
      </c>
      <c r="M72" s="47">
        <f>IF(K72&gt;0,100%,0%)</f>
        <v/>
      </c>
      <c r="N72" s="47">
        <f>IF(J72="",IF(I72&gt;0,IF(TODAY()&gt;=I72,1,IF(TODAY()&lt;H72,0,(TODAY()-H72)/(I72-H72))),""),IF(J72&gt;0,IF(TODAY()&gt;=J72,1,IF(TODAY()&lt;H72,0,(TODAY()-H72)/(J72-H72))),""))</f>
        <v/>
      </c>
      <c r="O72" s="48" t="inlineStr">
        <is>
          <t>n</t>
        </is>
      </c>
      <c r="P72" s="49" t="n"/>
      <c r="Q72" s="50">
        <f>IF(I72="",0,IF(K72&gt;1,1,IF(IF(J72="",I72,J72)&lt;TODAY(),2,IF(J72&gt;1,3,4))))</f>
        <v/>
      </c>
      <c r="R72" s="51">
        <f>IF(H72="",0,MONTH(H72))</f>
        <v/>
      </c>
      <c r="S72" s="52" t="n"/>
      <c r="T72" s="52" t="n"/>
      <c r="U72" s="52" t="n"/>
    </row>
    <row r="73" hidden="1" ht="27" customHeight="1" s="53">
      <c r="A73" s="39" t="n"/>
      <c r="B73" s="44" t="n">
        <v>61</v>
      </c>
      <c r="C73" s="45" t="inlineStr">
        <is>
          <t>Orixás</t>
        </is>
      </c>
      <c r="D73" s="45" t="inlineStr">
        <is>
          <t>CT-ORI-008 — Ordenação por displayOrder</t>
        </is>
      </c>
      <c r="E73" s="44" t="inlineStr">
        <is>
          <t>Orixás exibidos de acordo com a ordem de exibição definida</t>
        </is>
      </c>
      <c r="F73" s="44" t="inlineStr">
        <is>
          <t>Lista ordenada corretamente pelo campo displayOrder</t>
        </is>
      </c>
      <c r="G73" s="44" t="n"/>
      <c r="H73" s="46" t="n"/>
      <c r="I73" s="46" t="n"/>
      <c r="J73" s="46" t="n"/>
      <c r="K73" s="46" t="n">
        <v>46198</v>
      </c>
      <c r="L73" s="46" t="inlineStr">
        <is>
          <t>Aprovado</t>
        </is>
      </c>
      <c r="M73" s="47">
        <f>IF(K73&gt;0,100%,0%)</f>
        <v/>
      </c>
      <c r="N73" s="47">
        <f>IF(J73="",IF(I73&gt;0,IF(TODAY()&gt;=I73,1,IF(TODAY()&lt;H73,0,(TODAY()-H73)/(I73-H73))),""),IF(J73&gt;0,IF(TODAY()&gt;=J73,1,IF(TODAY()&lt;H73,0,(TODAY()-H73)/(J73-H73))),""))</f>
        <v/>
      </c>
      <c r="O73" s="48" t="inlineStr">
        <is>
          <t>n</t>
        </is>
      </c>
      <c r="P73" s="49" t="n"/>
      <c r="Q73" s="50">
        <f>IF(I73="",0,IF(K73&gt;1,1,IF(IF(J73="",I73,J73)&lt;TODAY(),2,IF(J73&gt;1,3,4))))</f>
        <v/>
      </c>
      <c r="R73" s="51">
        <f>IF(H73="",0,MONTH(H73))</f>
        <v/>
      </c>
      <c r="S73" s="52" t="n"/>
      <c r="T73" s="52" t="n"/>
      <c r="U73" s="52" t="n"/>
    </row>
    <row r="74" ht="53.25" customHeight="1" s="53">
      <c r="A74" s="39" t="n"/>
      <c r="B74" s="44" t="n">
        <v>62</v>
      </c>
      <c r="C74" s="45" t="inlineStr">
        <is>
          <t>Conteúdo Espiritual</t>
        </is>
      </c>
      <c r="D74" s="45" t="inlineStr">
        <is>
          <t>CT-ESP-001 — Listar conteúdos espirituais</t>
        </is>
      </c>
      <c r="E74" s="44" t="inlineStr">
        <is>
          <t>Lista paginada exibindo Título, Tipo, Categoria, Destaque, Status</t>
        </is>
      </c>
      <c r="F74" s="44" t="inlineStr">
        <is>
          <t>Lista de conteúdos espirituais sem controle de paginação visível; itens exibidos em scroll contínuo</t>
        </is>
      </c>
      <c r="G74" s="44" t="n"/>
      <c r="H74" s="46" t="n"/>
      <c r="I74" s="46" t="n"/>
      <c r="J74" s="46" t="n"/>
      <c r="K74" s="46" t="n">
        <v>46198</v>
      </c>
      <c r="L74" s="46" t="inlineStr">
        <is>
          <t>Reprovado</t>
        </is>
      </c>
      <c r="M74" s="47">
        <f>IF(K74&gt;0,100%,0%)</f>
        <v/>
      </c>
      <c r="N74" s="47">
        <f>IF(J74="",IF(I74&gt;0,IF(TODAY()&gt;=I74,1,IF(TODAY()&lt;H74,0,(TODAY()-H74)/(I74-H74))),""),IF(J74&gt;0,IF(TODAY()&gt;=J74,1,IF(TODAY()&lt;H74,0,(TODAY()-H74)/(J74-H74))),""))</f>
        <v/>
      </c>
      <c r="O74" s="48" t="inlineStr">
        <is>
          <t>n</t>
        </is>
      </c>
      <c r="P74" s="49" t="n"/>
      <c r="Q74" s="50">
        <f>IF(I74="",0,IF(K74&gt;1,1,IF(IF(J74="",I74,J74)&lt;TODAY(),2,IF(J74&gt;1,3,4))))</f>
        <v/>
      </c>
      <c r="R74" s="51">
        <f>IF(H74="",0,MONTH(H74))</f>
        <v/>
      </c>
      <c r="S74" s="52" t="n"/>
      <c r="T74" s="52" t="n"/>
      <c r="U74" s="52" t="n"/>
    </row>
    <row r="75" hidden="1" ht="27" customHeight="1" s="53">
      <c r="A75" s="39" t="n"/>
      <c r="B75" s="44" t="n">
        <v>63</v>
      </c>
      <c r="C75" s="45" t="inlineStr">
        <is>
          <t>Conteúdo Espiritual</t>
        </is>
      </c>
      <c r="D75" s="45" t="inlineStr">
        <is>
          <t>CT-ESP-002 — Filtrar por tipo</t>
        </is>
      </c>
      <c r="E75" s="44" t="inlineStr">
        <is>
          <t>Lista exibe somente conteúdos do tipo selecionado</t>
        </is>
      </c>
      <c r="F75" s="44" t="inlineStr">
        <is>
          <t>Filtro por tipo funcional; lista atualiza ao selecionar tipo</t>
        </is>
      </c>
      <c r="G75" s="44" t="n"/>
      <c r="H75" s="46" t="n"/>
      <c r="I75" s="46" t="n"/>
      <c r="J75" s="46" t="n"/>
      <c r="K75" s="46" t="n">
        <v>46198</v>
      </c>
      <c r="L75" s="46" t="inlineStr">
        <is>
          <t>Aprovado</t>
        </is>
      </c>
      <c r="M75" s="47">
        <f>IF(K75&gt;0,100%,0%)</f>
        <v/>
      </c>
      <c r="N75" s="47">
        <f>IF(J75="",IF(I75&gt;0,IF(TODAY()&gt;=I75,1,IF(TODAY()&lt;H75,0,(TODAY()-H75)/(I75-H75))),""),IF(J75&gt;0,IF(TODAY()&gt;=J75,1,IF(TODAY()&lt;H75,0,(TODAY()-H75)/(J75-H75))),""))</f>
        <v/>
      </c>
      <c r="O75" s="48" t="inlineStr">
        <is>
          <t>n</t>
        </is>
      </c>
      <c r="P75" s="49" t="n"/>
      <c r="Q75" s="50">
        <f>IF(I75="",0,IF(K75&gt;1,1,IF(IF(J75="",I75,J75)&lt;TODAY(),2,IF(J75&gt;1,3,4))))</f>
        <v/>
      </c>
      <c r="R75" s="51">
        <f>IF(H75="",0,MONTH(H75))</f>
        <v/>
      </c>
      <c r="S75" s="52" t="n"/>
      <c r="T75" s="52" t="n"/>
      <c r="U75" s="52" t="n"/>
    </row>
    <row r="76" hidden="1" ht="40.5" customHeight="1" s="53">
      <c r="A76" s="39" t="n"/>
      <c r="B76" s="44" t="n">
        <v>64</v>
      </c>
      <c r="C76" s="45" t="inlineStr">
        <is>
          <t>Conteúdo Espiritual</t>
        </is>
      </c>
      <c r="D76" s="45" t="inlineStr">
        <is>
          <t>CT-ESP-003 — Filtrar por categoria</t>
        </is>
      </c>
      <c r="E76" s="44" t="inlineStr">
        <is>
          <t>Lista exibe somente conteúdos da categoria selecionada</t>
        </is>
      </c>
      <c r="F76" s="44" t="inlineStr">
        <is>
          <t>Filtro por categoria funcional; lista atualiza ao selecionar categoria</t>
        </is>
      </c>
      <c r="G76" s="44" t="n"/>
      <c r="H76" s="46" t="n"/>
      <c r="I76" s="46" t="n"/>
      <c r="J76" s="46" t="n"/>
      <c r="K76" s="46" t="n">
        <v>46198</v>
      </c>
      <c r="L76" s="46" t="inlineStr">
        <is>
          <t>Aprovado</t>
        </is>
      </c>
      <c r="M76" s="47">
        <f>IF(K76&gt;0,100%,0%)</f>
        <v/>
      </c>
      <c r="N76" s="47">
        <f>IF(J76="",IF(I76&gt;0,IF(TODAY()&gt;=I76,1,IF(TODAY()&lt;H76,0,(TODAY()-H76)/(I76-H76))),""),IF(J76&gt;0,IF(TODAY()&gt;=J76,1,IF(TODAY()&lt;H76,0,(TODAY()-H76)/(J76-H76))),""))</f>
        <v/>
      </c>
      <c r="O76" s="48" t="inlineStr">
        <is>
          <t>n</t>
        </is>
      </c>
      <c r="P76" s="49" t="n"/>
      <c r="Q76" s="50">
        <f>IF(I76="",0,IF(K76&gt;1,1,IF(IF(J76="",I76,J76)&lt;TODAY(),2,IF(J76&gt;1,3,4))))</f>
        <v/>
      </c>
      <c r="R76" s="51">
        <f>IF(H76="",0,MONTH(H76))</f>
        <v/>
      </c>
      <c r="S76" s="52" t="n"/>
      <c r="T76" s="52" t="n"/>
      <c r="U76" s="52" t="n"/>
    </row>
    <row r="77" hidden="1" ht="40.5" customHeight="1" s="53">
      <c r="A77" s="39" t="n"/>
      <c r="B77" s="44" t="n">
        <v>65</v>
      </c>
      <c r="C77" s="45" t="inlineStr">
        <is>
          <t>Conteúdo Espiritual</t>
        </is>
      </c>
      <c r="D77" s="45" t="inlineStr">
        <is>
          <t>CT-ESP-004 — Criar conteúdo com dados válidos</t>
        </is>
      </c>
      <c r="E77" s="44" t="inlineStr">
        <is>
          <t>Conteúdo criado e listado</t>
        </is>
      </c>
      <c r="F77" s="44" t="inlineStr">
        <is>
          <t>Conteúdo espiritual criado com título e corpo; listado após criação</t>
        </is>
      </c>
      <c r="G77" s="44" t="n"/>
      <c r="H77" s="46" t="n"/>
      <c r="I77" s="46" t="n"/>
      <c r="J77" s="46" t="n"/>
      <c r="K77" s="46" t="n">
        <v>46198</v>
      </c>
      <c r="L77" s="46" t="inlineStr">
        <is>
          <t>Aprovado</t>
        </is>
      </c>
      <c r="M77" s="47">
        <f>IF(K77&gt;0,100%,0%)</f>
        <v/>
      </c>
      <c r="N77" s="47">
        <f>IF(J77="",IF(I77&gt;0,IF(TODAY()&gt;=I77,1,IF(TODAY()&lt;H77,0,(TODAY()-H77)/(I77-H77))),""),IF(J77&gt;0,IF(TODAY()&gt;=J77,1,IF(TODAY()&lt;H77,0,(TODAY()-H77)/(J77-H77))),""))</f>
        <v/>
      </c>
      <c r="O77" s="48" t="inlineStr">
        <is>
          <t>n</t>
        </is>
      </c>
      <c r="P77" s="49" t="n"/>
      <c r="Q77" s="50">
        <f>IF(I77="",0,IF(K77&gt;1,1,IF(IF(J77="",I77,J77)&lt;TODAY(),2,IF(J77&gt;1,3,4))))</f>
        <v/>
      </c>
      <c r="R77" s="51">
        <f>IF(H77="",0,MONTH(H77))</f>
        <v/>
      </c>
      <c r="S77" s="52" t="n"/>
      <c r="T77" s="52" t="n"/>
      <c r="U77" s="52" t="n"/>
    </row>
    <row r="78" hidden="1" ht="27" customHeight="1" s="53">
      <c r="A78" s="39" t="n"/>
      <c r="B78" s="44" t="n">
        <v>66</v>
      </c>
      <c r="C78" s="45" t="inlineStr">
        <is>
          <t>Conteúdo Espiritual</t>
        </is>
      </c>
      <c r="D78" s="45" t="inlineStr">
        <is>
          <t>CT-ESP-005 — Criar conteúdo sem título</t>
        </is>
      </c>
      <c r="E78" s="44" t="inlineStr">
        <is>
          <t>Erro 'Título é obrigatório'</t>
        </is>
      </c>
      <c r="F78" s="44" t="inlineStr">
        <is>
          <t>Erro 'Título é obrigatório' exibido ao tentar criar sem título</t>
        </is>
      </c>
      <c r="G78" s="44" t="n"/>
      <c r="H78" s="46" t="n"/>
      <c r="I78" s="46" t="n"/>
      <c r="J78" s="46" t="n"/>
      <c r="K78" s="46" t="n">
        <v>46198</v>
      </c>
      <c r="L78" s="46" t="inlineStr">
        <is>
          <t>Aprovado</t>
        </is>
      </c>
      <c r="M78" s="47">
        <f>IF(K78&gt;0,100%,0%)</f>
        <v/>
      </c>
      <c r="N78" s="47">
        <f>IF(J78="",IF(I78&gt;0,IF(TODAY()&gt;=I78,1,IF(TODAY()&lt;H78,0,(TODAY()-H78)/(I78-H78))),""),IF(J78&gt;0,IF(TODAY()&gt;=J78,1,IF(TODAY()&lt;H78,0,(TODAY()-H78)/(J78-H78))),""))</f>
        <v/>
      </c>
      <c r="O78" s="48" t="inlineStr">
        <is>
          <t>n</t>
        </is>
      </c>
      <c r="P78" s="49" t="n"/>
      <c r="Q78" s="50">
        <f>IF(I78="",0,IF(K78&gt;1,1,IF(IF(J78="",I78,J78)&lt;TODAY(),2,IF(J78&gt;1,3,4))))</f>
        <v/>
      </c>
      <c r="R78" s="51">
        <f>IF(H78="",0,MONTH(H78))</f>
        <v/>
      </c>
      <c r="S78" s="52" t="n"/>
      <c r="T78" s="52" t="n"/>
      <c r="U78" s="52" t="n"/>
    </row>
    <row r="79" hidden="1" ht="27" customHeight="1" s="53">
      <c r="A79" s="39" t="n"/>
      <c r="B79" s="44" t="n">
        <v>67</v>
      </c>
      <c r="C79" s="45" t="inlineStr">
        <is>
          <t>Conteúdo Espiritual</t>
        </is>
      </c>
      <c r="D79" s="45" t="inlineStr">
        <is>
          <t>CT-ESP-006 — Criar conteúdo sem corpo do texto</t>
        </is>
      </c>
      <c r="E79" s="44" t="inlineStr">
        <is>
          <t>Erro de validação no campo Conteúdo</t>
        </is>
      </c>
      <c r="F79" s="44" t="inlineStr">
        <is>
          <t>Erro de validação exibido ao tentar criar sem corpo do texto</t>
        </is>
      </c>
      <c r="G79" s="44" t="n"/>
      <c r="H79" s="46" t="n"/>
      <c r="I79" s="46" t="n"/>
      <c r="J79" s="46" t="n"/>
      <c r="K79" s="46" t="n">
        <v>46198</v>
      </c>
      <c r="L79" s="46" t="inlineStr">
        <is>
          <t>Aprovado</t>
        </is>
      </c>
      <c r="M79" s="47">
        <f>IF(K79&gt;0,100%,0%)</f>
        <v/>
      </c>
      <c r="N79" s="47">
        <f>IF(J79="",IF(I79&gt;0,IF(TODAY()&gt;=I79,1,IF(TODAY()&lt;H79,0,(TODAY()-H79)/(I79-H79))),""),IF(J79&gt;0,IF(TODAY()&gt;=J79,1,IF(TODAY()&lt;H79,0,(TODAY()-H79)/(J79-H79))),""))</f>
        <v/>
      </c>
      <c r="O79" s="48" t="inlineStr">
        <is>
          <t>n</t>
        </is>
      </c>
      <c r="P79" s="49" t="n"/>
      <c r="Q79" s="50">
        <f>IF(I79="",0,IF(K79&gt;1,1,IF(IF(J79="",I79,J79)&lt;TODAY(),2,IF(J79&gt;1,3,4))))</f>
        <v/>
      </c>
      <c r="R79" s="51">
        <f>IF(H79="",0,MONTH(H79))</f>
        <v/>
      </c>
      <c r="S79" s="52" t="n"/>
      <c r="T79" s="52" t="n"/>
      <c r="U79" s="52" t="n"/>
    </row>
    <row r="80" hidden="1" ht="40.5" customHeight="1" s="53">
      <c r="A80" s="39" t="n"/>
      <c r="B80" s="44" t="n">
        <v>68</v>
      </c>
      <c r="C80" s="45" t="inlineStr">
        <is>
          <t>Conteúdo Espiritual</t>
        </is>
      </c>
      <c r="D80" s="45" t="inlineStr">
        <is>
          <t>CT-ESP-007 — Marcar/desmarcar conteúdo como destaque</t>
        </is>
      </c>
      <c r="E80" s="44" t="inlineStr">
        <is>
          <t>Ícone de destaque atualizado na lista</t>
        </is>
      </c>
      <c r="F80" s="44" t="inlineStr">
        <is>
          <t>Toggle isFeatured (Destaque) funcional; status alterado corretamente</t>
        </is>
      </c>
      <c r="G80" s="44" t="n"/>
      <c r="H80" s="46" t="n"/>
      <c r="I80" s="46" t="n"/>
      <c r="J80" s="46" t="n"/>
      <c r="K80" s="46" t="n">
        <v>46198</v>
      </c>
      <c r="L80" s="46" t="inlineStr">
        <is>
          <t>Aprovado</t>
        </is>
      </c>
      <c r="M80" s="47">
        <f>IF(K80&gt;0,100%,0%)</f>
        <v/>
      </c>
      <c r="N80" s="47">
        <f>IF(J80="",IF(I80&gt;0,IF(TODAY()&gt;=I80,1,IF(TODAY()&lt;H80,0,(TODAY()-H80)/(I80-H80))),""),IF(J80&gt;0,IF(TODAY()&gt;=J80,1,IF(TODAY()&lt;H80,0,(TODAY()-H80)/(J80-H80))),""))</f>
        <v/>
      </c>
      <c r="O80" s="48" t="inlineStr">
        <is>
          <t>n</t>
        </is>
      </c>
      <c r="P80" s="49" t="n"/>
      <c r="Q80" s="50">
        <f>IF(I80="",0,IF(K80&gt;1,1,IF(IF(J80="",I80,J80)&lt;TODAY(),2,IF(J80&gt;1,3,4))))</f>
        <v/>
      </c>
      <c r="R80" s="51">
        <f>IF(H80="",0,MONTH(H80))</f>
        <v/>
      </c>
      <c r="S80" s="52" t="n"/>
      <c r="T80" s="52" t="n"/>
      <c r="U80" s="52" t="n"/>
    </row>
    <row r="81" hidden="1" ht="27" customHeight="1" s="53">
      <c r="A81" s="39" t="n"/>
      <c r="B81" s="44" t="n">
        <v>69</v>
      </c>
      <c r="C81" s="45" t="inlineStr">
        <is>
          <t>Conteúdo Espiritual</t>
        </is>
      </c>
      <c r="D81" s="45" t="inlineStr">
        <is>
          <t>CT-ESP-008 — Editar conteúdo espiritual</t>
        </is>
      </c>
      <c r="E81" s="44" t="inlineStr">
        <is>
          <t>Alterações refletidas na lista</t>
        </is>
      </c>
      <c r="F81" s="44" t="inlineStr">
        <is>
          <t>Conteúdo editado com sucesso; alterações refletidas na lista</t>
        </is>
      </c>
      <c r="G81" s="44" t="n"/>
      <c r="H81" s="46" t="n"/>
      <c r="I81" s="46" t="n"/>
      <c r="J81" s="46" t="n"/>
      <c r="K81" s="46" t="n">
        <v>46198</v>
      </c>
      <c r="L81" s="46" t="inlineStr">
        <is>
          <t>Aprovado</t>
        </is>
      </c>
      <c r="M81" s="47">
        <f>IF(K81&gt;0,100%,0%)</f>
        <v/>
      </c>
      <c r="N81" s="47">
        <f>IF(J81="",IF(I81&gt;0,IF(TODAY()&gt;=I81,1,IF(TODAY()&lt;H81,0,(TODAY()-H81)/(I81-H81))),""),IF(J81&gt;0,IF(TODAY()&gt;=J81,1,IF(TODAY()&lt;H81,0,(TODAY()-H81)/(J81-H81))),""))</f>
        <v/>
      </c>
      <c r="O81" s="48" t="inlineStr">
        <is>
          <t>n</t>
        </is>
      </c>
      <c r="P81" s="49" t="n"/>
      <c r="Q81" s="50">
        <f>IF(I81="",0,IF(K81&gt;1,1,IF(IF(J81="",I81,J81)&lt;TODAY(),2,IF(J81&gt;1,3,4))))</f>
        <v/>
      </c>
      <c r="R81" s="51">
        <f>IF(H81="",0,MONTH(H81))</f>
        <v/>
      </c>
      <c r="S81" s="52" t="n"/>
      <c r="T81" s="52" t="n"/>
      <c r="U81" s="52" t="n"/>
    </row>
    <row r="82" ht="40.5" customHeight="1" s="53">
      <c r="A82" s="39" t="n"/>
      <c r="B82" s="44" t="n">
        <v>70</v>
      </c>
      <c r="C82" s="45" t="inlineStr">
        <is>
          <t>Conteúdo Espiritual</t>
        </is>
      </c>
      <c r="D82" s="45" t="inlineStr">
        <is>
          <t>CT-ESP-009 — Ativar/desativar conteúdo</t>
        </is>
      </c>
      <c r="E82" s="44" t="inlineStr">
        <is>
          <t>Status atualizado na lista</t>
        </is>
      </c>
      <c r="F82" s="44" t="inlineStr">
        <is>
          <t>Campo Ativo/Inativo não disponível na interface de conteúdo espiritual</t>
        </is>
      </c>
      <c r="G82" s="44" t="n"/>
      <c r="H82" s="46" t="n"/>
      <c r="I82" s="46" t="n"/>
      <c r="J82" s="46" t="n"/>
      <c r="K82" s="46" t="n">
        <v>46198</v>
      </c>
      <c r="L82" s="46" t="inlineStr">
        <is>
          <t>Reprovado</t>
        </is>
      </c>
      <c r="M82" s="47">
        <f>IF(K82&gt;0,100%,0%)</f>
        <v/>
      </c>
      <c r="N82" s="47">
        <f>IF(J82="",IF(I82&gt;0,IF(TODAY()&gt;=I82,1,IF(TODAY()&lt;H82,0,(TODAY()-H82)/(I82-H82))),""),IF(J82&gt;0,IF(TODAY()&gt;=J82,1,IF(TODAY()&lt;H82,0,(TODAY()-H82)/(J82-H82))),""))</f>
        <v/>
      </c>
      <c r="O82" s="48" t="inlineStr">
        <is>
          <t>n</t>
        </is>
      </c>
      <c r="P82" s="49" t="n"/>
      <c r="Q82" s="50">
        <f>IF(I82="",0,IF(K82&gt;1,1,IF(IF(J82="",I82,J82)&lt;TODAY(),2,IF(J82&gt;1,3,4))))</f>
        <v/>
      </c>
      <c r="R82" s="51">
        <f>IF(H82="",0,MONTH(H82))</f>
        <v/>
      </c>
      <c r="S82" s="52" t="n"/>
      <c r="T82" s="52" t="n"/>
      <c r="U82" s="52" t="n"/>
    </row>
    <row r="83" hidden="1" ht="27" customHeight="1" s="53">
      <c r="A83" s="39" t="n"/>
      <c r="B83" s="44" t="n">
        <v>71</v>
      </c>
      <c r="C83" s="45" t="inlineStr">
        <is>
          <t>Conteúdo Espiritual</t>
        </is>
      </c>
      <c r="D83" s="45" t="inlineStr">
        <is>
          <t>CT-ESP-010 — Excluir conteúdo espiritual</t>
        </is>
      </c>
      <c r="E83" s="44" t="inlineStr">
        <is>
          <t>Conteúdo removido da lista</t>
        </is>
      </c>
      <c r="F83" s="44" t="inlineStr">
        <is>
          <t>Conteúdo excluído após confirmação; removido da lista</t>
        </is>
      </c>
      <c r="G83" s="44" t="n"/>
      <c r="H83" s="46" t="n"/>
      <c r="I83" s="46" t="n"/>
      <c r="J83" s="46" t="n"/>
      <c r="K83" s="46" t="n">
        <v>46198</v>
      </c>
      <c r="L83" s="46" t="inlineStr">
        <is>
          <t>Aprovado</t>
        </is>
      </c>
      <c r="M83" s="47">
        <f>IF(K83&gt;0,100%,0%)</f>
        <v/>
      </c>
      <c r="N83" s="47">
        <f>IF(J83="",IF(I83&gt;0,IF(TODAY()&gt;=I83,1,IF(TODAY()&lt;H83,0,(TODAY()-H83)/(I83-H83))),""),IF(J83&gt;0,IF(TODAY()&gt;=J83,1,IF(TODAY()&lt;H83,0,(TODAY()-H83)/(J83-H83))),""))</f>
        <v/>
      </c>
      <c r="O83" s="48" t="inlineStr">
        <is>
          <t>n</t>
        </is>
      </c>
      <c r="P83" s="49" t="n"/>
      <c r="Q83" s="50">
        <f>IF(I83="",0,IF(K83&gt;1,1,IF(IF(J83="",I83,J83)&lt;TODAY(),2,IF(J83&gt;1,3,4))))</f>
        <v/>
      </c>
      <c r="R83" s="51">
        <f>IF(H83="",0,MONTH(H83))</f>
        <v/>
      </c>
      <c r="S83" s="52" t="n"/>
      <c r="T83" s="52" t="n"/>
      <c r="U83" s="52" t="n"/>
    </row>
    <row r="84" ht="40.5" customHeight="1" s="53">
      <c r="A84" s="39" t="n"/>
      <c r="B84" s="44" t="n">
        <v>72</v>
      </c>
      <c r="C84" s="45" t="inlineStr">
        <is>
          <t>Linhas de Umbanda</t>
        </is>
      </c>
      <c r="D84" s="45" t="inlineStr">
        <is>
          <t>CT-UMB-001 — Listar linhas de Umbanda</t>
        </is>
      </c>
      <c r="E84" s="44" t="inlineStr">
        <is>
          <t>Lista exibindo Nome, Entidades, Dias de Trabalho, Status</t>
        </is>
      </c>
      <c r="F84" s="44" t="inlineStr">
        <is>
          <t>Lista de linhas da Umbanda exibida; colunas sem Status (Ativo/Inativo) visível na grade</t>
        </is>
      </c>
      <c r="G84" s="44" t="n"/>
      <c r="H84" s="46" t="n"/>
      <c r="I84" s="46" t="n"/>
      <c r="J84" s="46" t="n"/>
      <c r="K84" s="46" t="n">
        <v>46198</v>
      </c>
      <c r="L84" s="46" t="inlineStr">
        <is>
          <t>Reprovado</t>
        </is>
      </c>
      <c r="M84" s="47">
        <f>IF(K84&gt;0,100%,0%)</f>
        <v/>
      </c>
      <c r="N84" s="47">
        <f>IF(J84="",IF(I84&gt;0,IF(TODAY()&gt;=I84,1,IF(TODAY()&lt;H84,0,(TODAY()-H84)/(I84-H84))),""),IF(J84&gt;0,IF(TODAY()&gt;=J84,1,IF(TODAY()&lt;H84,0,(TODAY()-H84)/(J84-H84))),""))</f>
        <v/>
      </c>
      <c r="O84" s="48" t="inlineStr">
        <is>
          <t>n</t>
        </is>
      </c>
      <c r="P84" s="49" t="n"/>
      <c r="Q84" s="50">
        <f>IF(I84="",0,IF(K84&gt;1,1,IF(IF(J84="",I84,J84)&lt;TODAY(),2,IF(J84&gt;1,3,4))))</f>
        <v/>
      </c>
      <c r="R84" s="51">
        <f>IF(H84="",0,MONTH(H84))</f>
        <v/>
      </c>
      <c r="S84" s="52" t="n"/>
      <c r="T84" s="52" t="n"/>
      <c r="U84" s="52" t="n"/>
    </row>
    <row r="85" hidden="1" ht="40.5" customHeight="1" s="53">
      <c r="A85" s="39" t="n"/>
      <c r="B85" s="44" t="n">
        <v>73</v>
      </c>
      <c r="C85" s="45" t="inlineStr">
        <is>
          <t>Linhas de Umbanda</t>
        </is>
      </c>
      <c r="D85" s="45" t="inlineStr">
        <is>
          <t>CT-UMB-002 — Filtrar por entidade</t>
        </is>
      </c>
      <c r="E85" s="44" t="inlineStr">
        <is>
          <t>Lista exibe somente linhas que contenham a entidade buscada</t>
        </is>
      </c>
      <c r="F85" s="44" t="inlineStr">
        <is>
          <t>Filtro por entidade funcional; lista atualiza ao selecionar entidade</t>
        </is>
      </c>
      <c r="G85" s="44" t="n"/>
      <c r="H85" s="46" t="n"/>
      <c r="I85" s="46" t="n"/>
      <c r="J85" s="46" t="n"/>
      <c r="K85" s="46" t="n">
        <v>46198</v>
      </c>
      <c r="L85" s="46" t="inlineStr">
        <is>
          <t>Aprovado</t>
        </is>
      </c>
      <c r="M85" s="47">
        <f>IF(K85&gt;0,100%,0%)</f>
        <v/>
      </c>
      <c r="N85" s="47">
        <f>IF(J85="",IF(I85&gt;0,IF(TODAY()&gt;=I85,1,IF(TODAY()&lt;H85,0,(TODAY()-H85)/(I85-H85))),""),IF(J85&gt;0,IF(TODAY()&gt;=J85,1,IF(TODAY()&lt;H85,0,(TODAY()-H85)/(J85-H85))),""))</f>
        <v/>
      </c>
      <c r="O85" s="48" t="inlineStr">
        <is>
          <t>n</t>
        </is>
      </c>
      <c r="P85" s="49" t="n"/>
      <c r="Q85" s="50">
        <f>IF(I85="",0,IF(K85&gt;1,1,IF(IF(J85="",I85,J85)&lt;TODAY(),2,IF(J85&gt;1,3,4))))</f>
        <v/>
      </c>
      <c r="R85" s="51">
        <f>IF(H85="",0,MONTH(H85))</f>
        <v/>
      </c>
      <c r="S85" s="52" t="n"/>
      <c r="T85" s="52" t="n"/>
      <c r="U85" s="52" t="n"/>
    </row>
    <row r="86" hidden="1" ht="40.5" customHeight="1" s="53">
      <c r="A86" s="39" t="n"/>
      <c r="B86" s="44" t="n">
        <v>74</v>
      </c>
      <c r="C86" s="45" t="inlineStr">
        <is>
          <t>Linhas de Umbanda</t>
        </is>
      </c>
      <c r="D86" s="45" t="inlineStr">
        <is>
          <t>CT-UMB-003 — Filtrar por dia de trabalho</t>
        </is>
      </c>
      <c r="E86" s="44" t="inlineStr">
        <is>
          <t>Lista exibe somente linhas com trabalho no dia selecionado</t>
        </is>
      </c>
      <c r="F86" s="44" t="inlineStr">
        <is>
          <t>Filtro por dia de trabalho funcional; lista atualiza ao selecionar dia</t>
        </is>
      </c>
      <c r="G86" s="44" t="n"/>
      <c r="H86" s="46" t="n"/>
      <c r="I86" s="46" t="n"/>
      <c r="J86" s="46" t="n"/>
      <c r="K86" s="46" t="n">
        <v>46198</v>
      </c>
      <c r="L86" s="46" t="inlineStr">
        <is>
          <t>Aprovado</t>
        </is>
      </c>
      <c r="M86" s="47">
        <f>IF(K86&gt;0,100%,0%)</f>
        <v/>
      </c>
      <c r="N86" s="47">
        <f>IF(J86="",IF(I86&gt;0,IF(TODAY()&gt;=I86,1,IF(TODAY()&lt;H86,0,(TODAY()-H86)/(I86-H86))),""),IF(J86&gt;0,IF(TODAY()&gt;=J86,1,IF(TODAY()&lt;H86,0,(TODAY()-H86)/(J86-H86))),""))</f>
        <v/>
      </c>
      <c r="O86" s="48" t="inlineStr">
        <is>
          <t>n</t>
        </is>
      </c>
      <c r="P86" s="49" t="n"/>
      <c r="Q86" s="50">
        <f>IF(I86="",0,IF(K86&gt;1,1,IF(IF(J86="",I86,J86)&lt;TODAY(),2,IF(J86&gt;1,3,4))))</f>
        <v/>
      </c>
      <c r="R86" s="51">
        <f>IF(H86="",0,MONTH(H86))</f>
        <v/>
      </c>
      <c r="S86" s="52" t="n"/>
      <c r="T86" s="52" t="n"/>
      <c r="U86" s="52" t="n"/>
    </row>
    <row r="87" ht="53.25" customHeight="1" s="53">
      <c r="A87" s="39" t="n"/>
      <c r="B87" s="44" t="n">
        <v>75</v>
      </c>
      <c r="C87" s="45" t="inlineStr">
        <is>
          <t>Linhas de Umbanda</t>
        </is>
      </c>
      <c r="D87" s="45" t="inlineStr">
        <is>
          <t>CT-UMB-004 — Criar linha com dados válidos</t>
        </is>
      </c>
      <c r="E87" s="44" t="inlineStr">
        <is>
          <t>Linha criada e listada</t>
        </is>
      </c>
      <c r="F87" s="44" t="inlineStr">
        <is>
          <t>Criação de linha falhou; formulário não fecha e sem mensagem de erro após tentativa de salvar</t>
        </is>
      </c>
      <c r="G87" s="44" t="n"/>
      <c r="H87" s="46" t="n"/>
      <c r="I87" s="46" t="n"/>
      <c r="J87" s="46" t="n"/>
      <c r="K87" s="46" t="n">
        <v>46198</v>
      </c>
      <c r="L87" s="46" t="inlineStr">
        <is>
          <t>Reprovado</t>
        </is>
      </c>
      <c r="M87" s="47">
        <f>IF(K87&gt;0,100%,0%)</f>
        <v/>
      </c>
      <c r="N87" s="47">
        <f>IF(J87="",IF(I87&gt;0,IF(TODAY()&gt;=I87,1,IF(TODAY()&lt;H87,0,(TODAY()-H87)/(I87-H87))),""),IF(J87&gt;0,IF(TODAY()&gt;=J87,1,IF(TODAY()&lt;H87,0,(TODAY()-H87)/(J87-H87))),""))</f>
        <v/>
      </c>
      <c r="O87" s="48" t="inlineStr">
        <is>
          <t>n</t>
        </is>
      </c>
      <c r="P87" s="49" t="n"/>
      <c r="Q87" s="50">
        <f>IF(I87="",0,IF(K87&gt;1,1,IF(IF(J87="",I87,J87)&lt;TODAY(),2,IF(J87&gt;1,3,4))))</f>
        <v/>
      </c>
      <c r="R87" s="51">
        <f>IF(H87="",0,MONTH(H87))</f>
        <v/>
      </c>
      <c r="S87" s="52" t="n"/>
      <c r="T87" s="52" t="n"/>
      <c r="U87" s="52" t="n"/>
    </row>
    <row r="88" hidden="1" ht="27" customHeight="1" s="53">
      <c r="A88" s="39" t="n"/>
      <c r="B88" s="44" t="n">
        <v>76</v>
      </c>
      <c r="C88" s="45" t="inlineStr">
        <is>
          <t>Linhas de Umbanda</t>
        </is>
      </c>
      <c r="D88" s="45" t="inlineStr">
        <is>
          <t>CT-UMB-005 — Criar linha sem nome</t>
        </is>
      </c>
      <c r="E88" s="44" t="inlineStr">
        <is>
          <t>Erro 'Nome é obrigatório'</t>
        </is>
      </c>
      <c r="F88" s="44" t="inlineStr">
        <is>
          <t>Erro 'Nome é obrigatório' exibido ao tentar criar linha sem nome</t>
        </is>
      </c>
      <c r="G88" s="44" t="n"/>
      <c r="H88" s="46" t="n"/>
      <c r="I88" s="46" t="n"/>
      <c r="J88" s="46" t="n"/>
      <c r="K88" s="46" t="n">
        <v>46198</v>
      </c>
      <c r="L88" s="46" t="inlineStr">
        <is>
          <t>Aprovado</t>
        </is>
      </c>
      <c r="M88" s="47">
        <f>IF(K88&gt;0,100%,0%)</f>
        <v/>
      </c>
      <c r="N88" s="47">
        <f>IF(J88="",IF(I88&gt;0,IF(TODAY()&gt;=I88,1,IF(TODAY()&lt;H88,0,(TODAY()-H88)/(I88-H88))),""),IF(J88&gt;0,IF(TODAY()&gt;=J88,1,IF(TODAY()&lt;H88,0,(TODAY()-H88)/(J88-H88))),""))</f>
        <v/>
      </c>
      <c r="O88" s="48" t="inlineStr">
        <is>
          <t>n</t>
        </is>
      </c>
      <c r="P88" s="49" t="n"/>
      <c r="Q88" s="50">
        <f>IF(I88="",0,IF(K88&gt;1,1,IF(IF(J88="",I88,J88)&lt;TODAY(),2,IF(J88&gt;1,3,4))))</f>
        <v/>
      </c>
      <c r="R88" s="51">
        <f>IF(H88="",0,MONTH(H88))</f>
        <v/>
      </c>
      <c r="S88" s="52" t="n"/>
      <c r="T88" s="52" t="n"/>
      <c r="U88" s="52" t="n"/>
    </row>
    <row r="89" hidden="1" ht="27" customHeight="1" s="53">
      <c r="A89" s="39" t="n"/>
      <c r="B89" s="44" t="n">
        <v>77</v>
      </c>
      <c r="C89" s="45" t="inlineStr">
        <is>
          <t>Linhas de Umbanda</t>
        </is>
      </c>
      <c r="D89" s="45" t="inlineStr">
        <is>
          <t>CT-UMB-006 — Criar linha sem entidades</t>
        </is>
      </c>
      <c r="E89" s="44" t="inlineStr">
        <is>
          <t>Erro 'Informe pelo menos uma entidade'</t>
        </is>
      </c>
      <c r="F89" s="44" t="inlineStr">
        <is>
          <t>Erro de validação exibido ao tentar criar linha sem entidades</t>
        </is>
      </c>
      <c r="G89" s="44" t="n"/>
      <c r="H89" s="46" t="n"/>
      <c r="I89" s="46" t="n"/>
      <c r="J89" s="46" t="n"/>
      <c r="K89" s="46" t="n">
        <v>46198</v>
      </c>
      <c r="L89" s="46" t="inlineStr">
        <is>
          <t>Aprovado</t>
        </is>
      </c>
      <c r="M89" s="47">
        <f>IF(K89&gt;0,100%,0%)</f>
        <v/>
      </c>
      <c r="N89" s="47">
        <f>IF(J89="",IF(I89&gt;0,IF(TODAY()&gt;=I89,1,IF(TODAY()&lt;H89,0,(TODAY()-H89)/(I89-H89))),""),IF(J89&gt;0,IF(TODAY()&gt;=J89,1,IF(TODAY()&lt;H89,0,(TODAY()-H89)/(J89-H89))),""))</f>
        <v/>
      </c>
      <c r="O89" s="48" t="inlineStr">
        <is>
          <t>n</t>
        </is>
      </c>
      <c r="P89" s="49" t="n"/>
      <c r="Q89" s="50">
        <f>IF(I89="",0,IF(K89&gt;1,1,IF(IF(J89="",I89,J89)&lt;TODAY(),2,IF(J89&gt;1,3,4))))</f>
        <v/>
      </c>
      <c r="R89" s="51">
        <f>IF(H89="",0,MONTH(H89))</f>
        <v/>
      </c>
      <c r="S89" s="52" t="n"/>
      <c r="T89" s="52" t="n"/>
      <c r="U89" s="52" t="n"/>
    </row>
    <row r="90" ht="40.5" customHeight="1" s="53">
      <c r="A90" s="39" t="n"/>
      <c r="B90" s="44" t="n">
        <v>78</v>
      </c>
      <c r="C90" s="45" t="inlineStr">
        <is>
          <t>Linhas de Umbanda</t>
        </is>
      </c>
      <c r="D90" s="45" t="inlineStr">
        <is>
          <t>CT-UMB-007 — Visualizar detalhes das entidades</t>
        </is>
      </c>
      <c r="E90" s="44" t="inlineStr">
        <is>
          <t>Drawer exibe a lista completa das entidades cadastradas</t>
        </is>
      </c>
      <c r="F90" s="44" t="inlineStr">
        <is>
          <t>Painel de detalhes das entidades não disponível na UI; apenas visualização básica na lista</t>
        </is>
      </c>
      <c r="G90" s="44" t="n"/>
      <c r="H90" s="46" t="n"/>
      <c r="I90" s="46" t="n"/>
      <c r="J90" s="46" t="n"/>
      <c r="K90" s="46" t="n">
        <v>46198</v>
      </c>
      <c r="L90" s="46" t="inlineStr">
        <is>
          <t>Reprovado</t>
        </is>
      </c>
      <c r="M90" s="47">
        <f>IF(K90&gt;0,100%,0%)</f>
        <v/>
      </c>
      <c r="N90" s="47">
        <f>IF(J90="",IF(I90&gt;0,IF(TODAY()&gt;=I90,1,IF(TODAY()&lt;H90,0,(TODAY()-H90)/(I90-H90))),""),IF(J90&gt;0,IF(TODAY()&gt;=J90,1,IF(TODAY()&lt;H90,0,(TODAY()-H90)/(J90-H90))),""))</f>
        <v/>
      </c>
      <c r="O90" s="48" t="inlineStr">
        <is>
          <t>n</t>
        </is>
      </c>
      <c r="P90" s="49" t="n"/>
      <c r="Q90" s="50">
        <f>IF(I90="",0,IF(K90&gt;1,1,IF(IF(J90="",I90,J90)&lt;TODAY(),2,IF(J90&gt;1,3,4))))</f>
        <v/>
      </c>
      <c r="R90" s="51">
        <f>IF(H90="",0,MONTH(H90))</f>
        <v/>
      </c>
      <c r="S90" s="52" t="n"/>
      <c r="T90" s="52" t="n"/>
      <c r="U90" s="52" t="n"/>
    </row>
    <row r="91" hidden="1" ht="40.5" customHeight="1" s="53">
      <c r="A91" s="39" t="n"/>
      <c r="B91" s="44" t="n">
        <v>79</v>
      </c>
      <c r="C91" s="45" t="inlineStr">
        <is>
          <t>Linhas de Umbanda</t>
        </is>
      </c>
      <c r="D91" s="45" t="inlineStr">
        <is>
          <t>CT-UMB-008 — Editar linha de Umbanda</t>
        </is>
      </c>
      <c r="E91" s="44" t="inlineStr">
        <is>
          <t>Alterações refletidas na lista</t>
        </is>
      </c>
      <c r="F91" s="44" t="inlineStr">
        <is>
          <t>Linha de Umbanda editada com sucesso; alterações refletidas na lista</t>
        </is>
      </c>
      <c r="G91" s="44" t="n"/>
      <c r="H91" s="46" t="n"/>
      <c r="I91" s="46" t="n"/>
      <c r="J91" s="46" t="n"/>
      <c r="K91" s="46" t="n">
        <v>46198</v>
      </c>
      <c r="L91" s="46" t="inlineStr">
        <is>
          <t>Aprovado</t>
        </is>
      </c>
      <c r="M91" s="47">
        <f>IF(K91&gt;0,100%,0%)</f>
        <v/>
      </c>
      <c r="N91" s="47">
        <f>IF(J91="",IF(I91&gt;0,IF(TODAY()&gt;=I91,1,IF(TODAY()&lt;H91,0,(TODAY()-H91)/(I91-H91))),""),IF(J91&gt;0,IF(TODAY()&gt;=J91,1,IF(TODAY()&lt;H91,0,(TODAY()-H91)/(J91-H91))),""))</f>
        <v/>
      </c>
      <c r="O91" s="48" t="inlineStr">
        <is>
          <t>n</t>
        </is>
      </c>
      <c r="P91" s="49" t="n"/>
      <c r="Q91" s="50">
        <f>IF(I91="",0,IF(K91&gt;1,1,IF(IF(J91="",I91,J91)&lt;TODAY(),2,IF(J91&gt;1,3,4))))</f>
        <v/>
      </c>
      <c r="R91" s="51">
        <f>IF(H91="",0,MONTH(H91))</f>
        <v/>
      </c>
      <c r="S91" s="52" t="n"/>
      <c r="T91" s="52" t="n"/>
      <c r="U91" s="52" t="n"/>
    </row>
    <row r="92" ht="40.5" customHeight="1" s="53">
      <c r="A92" s="39" t="n"/>
      <c r="B92" s="44" t="n">
        <v>80</v>
      </c>
      <c r="C92" s="45" t="inlineStr">
        <is>
          <t>Linhas de Umbanda</t>
        </is>
      </c>
      <c r="D92" s="45" t="inlineStr">
        <is>
          <t>CT-UMB-009 — Ativar/desativar linha</t>
        </is>
      </c>
      <c r="E92" s="44" t="inlineStr">
        <is>
          <t>Status atualizado na lista</t>
        </is>
      </c>
      <c r="F92" s="44" t="inlineStr">
        <is>
          <t>Campo Ativo/Inativo não disponível no formulário de edição de linhas de Umbanda</t>
        </is>
      </c>
      <c r="G92" s="44" t="n"/>
      <c r="H92" s="46" t="n"/>
      <c r="I92" s="46" t="n"/>
      <c r="J92" s="46" t="n"/>
      <c r="K92" s="46" t="n">
        <v>46198</v>
      </c>
      <c r="L92" s="46" t="inlineStr">
        <is>
          <t>Reprovado</t>
        </is>
      </c>
      <c r="M92" s="47">
        <f>IF(K92&gt;0,100%,0%)</f>
        <v/>
      </c>
      <c r="N92" s="47">
        <f>IF(J92="",IF(I92&gt;0,IF(TODAY()&gt;=I92,1,IF(TODAY()&lt;H92,0,(TODAY()-H92)/(I92-H92))),""),IF(J92&gt;0,IF(TODAY()&gt;=J92,1,IF(TODAY()&lt;H92,0,(TODAY()-H92)/(J92-H92))),""))</f>
        <v/>
      </c>
      <c r="O92" s="48" t="inlineStr">
        <is>
          <t>n</t>
        </is>
      </c>
      <c r="P92" s="49" t="n"/>
      <c r="Q92" s="50">
        <f>IF(I92="",0,IF(K92&gt;1,1,IF(IF(J92="",I92,J92)&lt;TODAY(),2,IF(J92&gt;1,3,4))))</f>
        <v/>
      </c>
      <c r="R92" s="51">
        <f>IF(H92="",0,MONTH(H92))</f>
        <v/>
      </c>
      <c r="S92" s="52" t="n"/>
      <c r="T92" s="52" t="n"/>
      <c r="U92" s="52" t="n"/>
    </row>
    <row r="93" hidden="1" ht="40.5" customHeight="1" s="53">
      <c r="A93" s="39" t="n"/>
      <c r="B93" s="44" t="n">
        <v>81</v>
      </c>
      <c r="C93" s="45" t="inlineStr">
        <is>
          <t>Linhas de Umbanda</t>
        </is>
      </c>
      <c r="D93" s="45" t="inlineStr">
        <is>
          <t>CT-UMB-010 — Excluir linha de Umbanda</t>
        </is>
      </c>
      <c r="E93" s="44" t="inlineStr">
        <is>
          <t>Linha removida da lista</t>
        </is>
      </c>
      <c r="F93" s="44" t="inlineStr">
        <is>
          <t>BLOQUEADO — exclusão de linha não testada por risco de impacto em membros vinculados</t>
        </is>
      </c>
      <c r="G93" s="44" t="n"/>
      <c r="H93" s="46" t="n"/>
      <c r="I93" s="46" t="n"/>
      <c r="J93" s="46" t="n"/>
      <c r="K93" s="46" t="n">
        <v>46198</v>
      </c>
      <c r="L93" s="46" t="inlineStr">
        <is>
          <t>Bloqueado</t>
        </is>
      </c>
      <c r="M93" s="47">
        <f>IF(K93&gt;0,100%,0%)</f>
        <v/>
      </c>
      <c r="N93" s="47">
        <f>IF(J93="",IF(I93&gt;0,IF(TODAY()&gt;=I93,1,IF(TODAY()&lt;H93,0,(TODAY()-H93)/(I93-H93))),""),IF(J93&gt;0,IF(TODAY()&gt;=J93,1,IF(TODAY()&lt;H93,0,(TODAY()-H93)/(J93-H93))),""))</f>
        <v/>
      </c>
      <c r="O93" s="48" t="inlineStr">
        <is>
          <t>n</t>
        </is>
      </c>
      <c r="P93" s="49" t="n"/>
      <c r="Q93" s="50">
        <f>IF(I93="",0,IF(K93&gt;1,1,IF(IF(J93="",I93,J93)&lt;TODAY(),2,IF(J93&gt;1,3,4))))</f>
        <v/>
      </c>
      <c r="R93" s="51">
        <f>IF(H93="",0,MONTH(H93))</f>
        <v/>
      </c>
      <c r="S93" s="52" t="n"/>
      <c r="T93" s="52" t="n"/>
      <c r="U93" s="52" t="n"/>
    </row>
    <row r="94" hidden="1" ht="40.5" customHeight="1" s="53">
      <c r="A94" s="39" t="n"/>
      <c r="B94" s="44" t="n">
        <v>82</v>
      </c>
      <c r="C94" s="45" t="inlineStr">
        <is>
          <t>Mensagens de Contato</t>
        </is>
      </c>
      <c r="D94" s="45" t="inlineStr">
        <is>
          <t>CT-MSG-001 — Listar mensagens</t>
        </is>
      </c>
      <c r="E94" s="44" t="inlineStr">
        <is>
          <t>Lista exibindo Remetente, Assunto, Status, Data, indicador lida/não lida; contador de não lidas exibido</t>
        </is>
      </c>
      <c r="F94" s="44" t="inlineStr">
        <is>
          <t>Lista de mensagens exibida com colunas Nome, E-mail, Assunto, Status e data</t>
        </is>
      </c>
      <c r="G94" s="44" t="n"/>
      <c r="H94" s="46" t="n"/>
      <c r="I94" s="46" t="n"/>
      <c r="J94" s="46" t="n"/>
      <c r="K94" s="46" t="n">
        <v>46198</v>
      </c>
      <c r="L94" s="46" t="inlineStr">
        <is>
          <t>Aprovado</t>
        </is>
      </c>
      <c r="M94" s="47">
        <f>IF(K94&gt;0,100%,0%)</f>
        <v/>
      </c>
      <c r="N94" s="47">
        <f>IF(J94="",IF(I94&gt;0,IF(TODAY()&gt;=I94,1,IF(TODAY()&lt;H94,0,(TODAY()-H94)/(I94-H94))),""),IF(J94&gt;0,IF(TODAY()&gt;=J94,1,IF(TODAY()&lt;H94,0,(TODAY()-H94)/(J94-H94))),""))</f>
        <v/>
      </c>
      <c r="O94" s="48" t="inlineStr">
        <is>
          <t>n</t>
        </is>
      </c>
      <c r="P94" s="49" t="n"/>
      <c r="Q94" s="50">
        <f>IF(I94="",0,IF(K94&gt;1,1,IF(IF(J94="",I94,J94)&lt;TODAY(),2,IF(J94&gt;1,3,4))))</f>
        <v/>
      </c>
      <c r="R94" s="51">
        <f>IF(H94="",0,MONTH(H94))</f>
        <v/>
      </c>
      <c r="S94" s="52" t="n"/>
      <c r="T94" s="52" t="n"/>
      <c r="U94" s="52" t="n"/>
    </row>
    <row r="95" hidden="1" ht="40.5" customHeight="1" s="53">
      <c r="A95" s="39" t="n"/>
      <c r="B95" s="44" t="n">
        <v>83</v>
      </c>
      <c r="C95" s="45" t="inlineStr">
        <is>
          <t>Mensagens de Contato</t>
        </is>
      </c>
      <c r="D95" s="45" t="inlineStr">
        <is>
          <t>CT-MSG-002 — Filtrar por texto</t>
        </is>
      </c>
      <c r="E95" s="44" t="inlineStr">
        <is>
          <t>Lista filtrada exibindo apenas mensagens que contenham o texto</t>
        </is>
      </c>
      <c r="F95" s="44" t="inlineStr">
        <is>
          <t>Filtro por texto funcional; lista atualiza ao digitar no campo de busca</t>
        </is>
      </c>
      <c r="G95" s="44" t="n"/>
      <c r="H95" s="46" t="n"/>
      <c r="I95" s="46" t="n"/>
      <c r="J95" s="46" t="n"/>
      <c r="K95" s="46" t="n">
        <v>46198</v>
      </c>
      <c r="L95" s="46" t="inlineStr">
        <is>
          <t>Aprovado</t>
        </is>
      </c>
      <c r="M95" s="47">
        <f>IF(K95&gt;0,100%,0%)</f>
        <v/>
      </c>
      <c r="N95" s="47">
        <f>IF(J95="",IF(I95&gt;0,IF(TODAY()&gt;=I95,1,IF(TODAY()&lt;H95,0,(TODAY()-H95)/(I95-H95))),""),IF(J95&gt;0,IF(TODAY()&gt;=J95,1,IF(TODAY()&lt;H95,0,(TODAY()-H95)/(J95-H95))),""))</f>
        <v/>
      </c>
      <c r="O95" s="48" t="inlineStr">
        <is>
          <t>n</t>
        </is>
      </c>
      <c r="P95" s="49" t="n"/>
      <c r="Q95" s="50">
        <f>IF(I95="",0,IF(K95&gt;1,1,IF(IF(J95="",I95,J95)&lt;TODAY(),2,IF(J95&gt;1,3,4))))</f>
        <v/>
      </c>
      <c r="R95" s="51">
        <f>IF(H95="",0,MONTH(H95))</f>
        <v/>
      </c>
      <c r="S95" s="52" t="n"/>
      <c r="T95" s="52" t="n"/>
      <c r="U95" s="52" t="n"/>
    </row>
    <row r="96" hidden="1" ht="27" customHeight="1" s="53">
      <c r="A96" s="39" t="n"/>
      <c r="B96" s="44" t="n">
        <v>84</v>
      </c>
      <c r="C96" s="45" t="inlineStr">
        <is>
          <t>Mensagens de Contato</t>
        </is>
      </c>
      <c r="D96" s="45" t="inlineStr">
        <is>
          <t>CT-MSG-003 — Filtrar por status</t>
        </is>
      </c>
      <c r="E96" s="44" t="inlineStr">
        <is>
          <t>Lista exibe somente mensagens com o status selecionado</t>
        </is>
      </c>
      <c r="F96" s="44" t="inlineStr">
        <is>
          <t>Filtro por status funcional com abas 'Não lidas' e 'Lidas'</t>
        </is>
      </c>
      <c r="G96" s="44" t="n"/>
      <c r="H96" s="46" t="n"/>
      <c r="I96" s="46" t="n"/>
      <c r="J96" s="46" t="n"/>
      <c r="K96" s="46" t="n">
        <v>46198</v>
      </c>
      <c r="L96" s="46" t="inlineStr">
        <is>
          <t>Aprovado</t>
        </is>
      </c>
      <c r="M96" s="47">
        <f>IF(K96&gt;0,100%,0%)</f>
        <v/>
      </c>
      <c r="N96" s="47">
        <f>IF(J96="",IF(I96&gt;0,IF(TODAY()&gt;=I96,1,IF(TODAY()&lt;H96,0,(TODAY()-H96)/(I96-H96))),""),IF(J96&gt;0,IF(TODAY()&gt;=J96,1,IF(TODAY()&lt;H96,0,(TODAY()-H96)/(J96-H96))),""))</f>
        <v/>
      </c>
      <c r="O96" s="48" t="inlineStr">
        <is>
          <t>n</t>
        </is>
      </c>
      <c r="P96" s="49" t="n"/>
      <c r="Q96" s="50">
        <f>IF(I96="",0,IF(K96&gt;1,1,IF(IF(J96="",I96,J96)&lt;TODAY(),2,IF(J96&gt;1,3,4))))</f>
        <v/>
      </c>
      <c r="R96" s="51">
        <f>IF(H96="",0,MONTH(H96))</f>
        <v/>
      </c>
      <c r="S96" s="52" t="n"/>
      <c r="T96" s="52" t="n"/>
      <c r="U96" s="52" t="n"/>
    </row>
    <row r="97" hidden="1" ht="40.5" customHeight="1" s="53">
      <c r="A97" s="39" t="n"/>
      <c r="B97" s="44" t="n">
        <v>85</v>
      </c>
      <c r="C97" s="45" t="inlineStr">
        <is>
          <t>Mensagens de Contato</t>
        </is>
      </c>
      <c r="D97" s="45" t="inlineStr">
        <is>
          <t>CT-MSG-004 — Visualizar mensagem completa</t>
        </is>
      </c>
      <c r="E97" s="44" t="inlineStr">
        <is>
          <t>Modal exibe todos os campos: Nome, E-mail, Telefone, Assunto, Mensagem, Data, Status</t>
        </is>
      </c>
      <c r="F97" s="44" t="inlineStr">
        <is>
          <t>Clique na mensagem abre visualização completa com todos os campos</t>
        </is>
      </c>
      <c r="G97" s="44" t="n"/>
      <c r="H97" s="46" t="n"/>
      <c r="I97" s="46" t="n"/>
      <c r="J97" s="46" t="n"/>
      <c r="K97" s="46" t="n">
        <v>46198</v>
      </c>
      <c r="L97" s="46" t="inlineStr">
        <is>
          <t>Aprovado</t>
        </is>
      </c>
      <c r="M97" s="47">
        <f>IF(K97&gt;0,100%,0%)</f>
        <v/>
      </c>
      <c r="N97" s="47">
        <f>IF(J97="",IF(I97&gt;0,IF(TODAY()&gt;=I97,1,IF(TODAY()&lt;H97,0,(TODAY()-H97)/(I97-H97))),""),IF(J97&gt;0,IF(TODAY()&gt;=J97,1,IF(TODAY()&lt;H97,0,(TODAY()-H97)/(J97-H97))),""))</f>
        <v/>
      </c>
      <c r="O97" s="48" t="inlineStr">
        <is>
          <t>n</t>
        </is>
      </c>
      <c r="P97" s="49" t="n"/>
      <c r="Q97" s="50">
        <f>IF(I97="",0,IF(K97&gt;1,1,IF(IF(J97="",I97,J97)&lt;TODAY(),2,IF(J97&gt;1,3,4))))</f>
        <v/>
      </c>
      <c r="R97" s="51">
        <f>IF(H97="",0,MONTH(H97))</f>
        <v/>
      </c>
      <c r="S97" s="52" t="n"/>
      <c r="T97" s="52" t="n"/>
      <c r="U97" s="52" t="n"/>
    </row>
    <row r="98" ht="53.25" customHeight="1" s="53">
      <c r="A98" s="39" t="n"/>
      <c r="B98" s="44" t="n">
        <v>86</v>
      </c>
      <c r="C98" s="45" t="inlineStr">
        <is>
          <t>Mensagens de Contato</t>
        </is>
      </c>
      <c r="D98" s="45" t="inlineStr">
        <is>
          <t>CT-MSG-005 — Marcar mensagem como lida</t>
        </is>
      </c>
      <c r="E98" s="44" t="inlineStr">
        <is>
          <t>Indicador de não lida removido; contador de não lidas decrementado</t>
        </is>
      </c>
      <c r="F98" s="44" t="inlineStr">
        <is>
          <t>Ícone de marcar como lida/não lida individualmente não encontrado; apenas abas de filtro disponíveis</t>
        </is>
      </c>
      <c r="G98" s="44" t="n"/>
      <c r="H98" s="46" t="n"/>
      <c r="I98" s="46" t="n"/>
      <c r="J98" s="46" t="n"/>
      <c r="K98" s="46" t="n">
        <v>46198</v>
      </c>
      <c r="L98" s="46" t="inlineStr">
        <is>
          <t>Reprovado</t>
        </is>
      </c>
      <c r="M98" s="47">
        <f>IF(K98&gt;0,100%,0%)</f>
        <v/>
      </c>
      <c r="N98" s="47">
        <f>IF(J98="",IF(I98&gt;0,IF(TODAY()&gt;=I98,1,IF(TODAY()&lt;H98,0,(TODAY()-H98)/(I98-H98))),""),IF(J98&gt;0,IF(TODAY()&gt;=J98,1,IF(TODAY()&lt;H98,0,(TODAY()-H98)/(J98-H98))),""))</f>
        <v/>
      </c>
      <c r="O98" s="48" t="inlineStr">
        <is>
          <t>n</t>
        </is>
      </c>
      <c r="P98" s="49" t="n"/>
      <c r="Q98" s="50">
        <f>IF(I98="",0,IF(K98&gt;1,1,IF(IF(J98="",I98,J98)&lt;TODAY(),2,IF(J98&gt;1,3,4))))</f>
        <v/>
      </c>
      <c r="R98" s="51">
        <f>IF(H98="",0,MONTH(H98))</f>
        <v/>
      </c>
      <c r="S98" s="52" t="n"/>
      <c r="T98" s="52" t="n"/>
      <c r="U98" s="52" t="n"/>
    </row>
    <row r="99" ht="40.5" customHeight="1" s="53">
      <c r="A99" s="39" t="n"/>
      <c r="B99" s="44" t="n">
        <v>87</v>
      </c>
      <c r="C99" s="45" t="inlineStr">
        <is>
          <t>Mensagens de Contato</t>
        </is>
      </c>
      <c r="D99" s="45" t="inlineStr">
        <is>
          <t>CT-MSG-006 — Marcar mensagem como não lida</t>
        </is>
      </c>
      <c r="E99" s="44" t="inlineStr">
        <is>
          <t>Indicador de não lida retorna; contador incrementado</t>
        </is>
      </c>
      <c r="F99" s="44" t="inlineStr">
        <is>
          <t>Ícone de marcar como não lida individualmente não encontrado; apenas abas de filtro disponíveis</t>
        </is>
      </c>
      <c r="G99" s="44" t="n"/>
      <c r="H99" s="46" t="n"/>
      <c r="I99" s="46" t="n"/>
      <c r="J99" s="46" t="n"/>
      <c r="K99" s="46" t="n">
        <v>46198</v>
      </c>
      <c r="L99" s="46" t="inlineStr">
        <is>
          <t>Reprovado</t>
        </is>
      </c>
      <c r="M99" s="47">
        <f>IF(K99&gt;0,100%,0%)</f>
        <v/>
      </c>
      <c r="N99" s="47">
        <f>IF(J99="",IF(I99&gt;0,IF(TODAY()&gt;=I99,1,IF(TODAY()&lt;H99,0,(TODAY()-H99)/(I99-H99))),""),IF(J99&gt;0,IF(TODAY()&gt;=J99,1,IF(TODAY()&lt;H99,0,(TODAY()-H99)/(J99-H99))),""))</f>
        <v/>
      </c>
      <c r="O99" s="48" t="inlineStr">
        <is>
          <t>n</t>
        </is>
      </c>
      <c r="P99" s="49" t="n"/>
      <c r="Q99" s="50">
        <f>IF(I99="",0,IF(K99&gt;1,1,IF(IF(J99="",I99,J99)&lt;TODAY(),2,IF(J99&gt;1,3,4))))</f>
        <v/>
      </c>
      <c r="R99" s="51">
        <f>IF(H99="",0,MONTH(H99))</f>
        <v/>
      </c>
      <c r="S99" s="52" t="n"/>
      <c r="T99" s="52" t="n"/>
      <c r="U99" s="52" t="n"/>
    </row>
    <row r="100" hidden="1" ht="40.5" customHeight="1" s="53">
      <c r="A100" s="39" t="n"/>
      <c r="B100" s="44" t="n">
        <v>88</v>
      </c>
      <c r="C100" s="45" t="inlineStr">
        <is>
          <t>Mensagens de Contato</t>
        </is>
      </c>
      <c r="D100" s="45" t="inlineStr">
        <is>
          <t>CT-MSG-007 — Alterar status para Em atendimento</t>
        </is>
      </c>
      <c r="E100" s="44" t="inlineStr">
        <is>
          <t>Chip de status atualizado; alteração refletida na lista</t>
        </is>
      </c>
      <c r="F100" s="44" t="inlineStr">
        <is>
          <t>Status alterado para 'Em atendimento' via diálogo; API confirmou atualização (HTTP 200)</t>
        </is>
      </c>
      <c r="G100" s="44" t="n"/>
      <c r="H100" s="46" t="n"/>
      <c r="I100" s="46" t="n"/>
      <c r="J100" s="46" t="n"/>
      <c r="K100" s="46" t="n">
        <v>46198</v>
      </c>
      <c r="L100" s="46" t="inlineStr">
        <is>
          <t>Aprovado</t>
        </is>
      </c>
      <c r="M100" s="47">
        <f>IF(K100&gt;0,100%,0%)</f>
        <v/>
      </c>
      <c r="N100" s="47">
        <f>IF(J100="",IF(I100&gt;0,IF(TODAY()&gt;=I100,1,IF(TODAY()&lt;H100,0,(TODAY()-H100)/(I100-H100))),""),IF(J100&gt;0,IF(TODAY()&gt;=J100,1,IF(TODAY()&lt;H100,0,(TODAY()-H100)/(J100-H100))),""))</f>
        <v/>
      </c>
      <c r="O100" s="48" t="inlineStr">
        <is>
          <t>n</t>
        </is>
      </c>
      <c r="P100" s="49" t="n"/>
      <c r="Q100" s="50">
        <f>IF(I100="",0,IF(K100&gt;1,1,IF(IF(J100="",I100,J100)&lt;TODAY(),2,IF(J100&gt;1,3,4))))</f>
        <v/>
      </c>
      <c r="R100" s="51">
        <f>IF(H100="",0,MONTH(H100))</f>
        <v/>
      </c>
      <c r="S100" s="52" t="n"/>
      <c r="T100" s="52" t="n"/>
      <c r="U100" s="52" t="n"/>
    </row>
    <row r="101" hidden="1" ht="40.5" customHeight="1" s="53">
      <c r="A101" s="39" t="n"/>
      <c r="B101" s="44" t="n">
        <v>89</v>
      </c>
      <c r="C101" s="45" t="inlineStr">
        <is>
          <t>Mensagens de Contato</t>
        </is>
      </c>
      <c r="D101" s="45" t="inlineStr">
        <is>
          <t>CT-MSG-008 — Alterar status para Resolvida</t>
        </is>
      </c>
      <c r="E101" s="44" t="inlineStr">
        <is>
          <t>Chip verde de Resolvida exibido</t>
        </is>
      </c>
      <c r="F101" s="44" t="inlineStr">
        <is>
          <t>Status alterado para 'Resolvida' via diálogo; API confirmou atualização (HTTP 200)</t>
        </is>
      </c>
      <c r="G101" s="44" t="n"/>
      <c r="H101" s="46" t="n"/>
      <c r="I101" s="46" t="n"/>
      <c r="J101" s="46" t="n"/>
      <c r="K101" s="46" t="n">
        <v>46198</v>
      </c>
      <c r="L101" s="46" t="inlineStr">
        <is>
          <t>Aprovado</t>
        </is>
      </c>
      <c r="M101" s="47">
        <f>IF(K101&gt;0,100%,0%)</f>
        <v/>
      </c>
      <c r="N101" s="47">
        <f>IF(J101="",IF(I101&gt;0,IF(TODAY()&gt;=I101,1,IF(TODAY()&lt;H101,0,(TODAY()-H101)/(I101-H101))),""),IF(J101&gt;0,IF(TODAY()&gt;=J101,1,IF(TODAY()&lt;H101,0,(TODAY()-H101)/(J101-H101))),""))</f>
        <v/>
      </c>
      <c r="O101" s="48" t="inlineStr">
        <is>
          <t>n</t>
        </is>
      </c>
      <c r="P101" s="49" t="n"/>
      <c r="Q101" s="50">
        <f>IF(I101="",0,IF(K101&gt;1,1,IF(IF(J101="",I101,J101)&lt;TODAY(),2,IF(J101&gt;1,3,4))))</f>
        <v/>
      </c>
      <c r="R101" s="51">
        <f>IF(H101="",0,MONTH(H101))</f>
        <v/>
      </c>
      <c r="S101" s="52" t="n"/>
      <c r="T101" s="52" t="n"/>
      <c r="U101" s="52" t="n"/>
    </row>
    <row r="102" hidden="1" ht="40.5" customHeight="1" s="53">
      <c r="A102" s="39" t="n"/>
      <c r="B102" s="44" t="n">
        <v>90</v>
      </c>
      <c r="C102" s="45" t="inlineStr">
        <is>
          <t>Mensagens de Contato</t>
        </is>
      </c>
      <c r="D102" s="45" t="inlineStr">
        <is>
          <t>CT-MSG-009 — Alterar status para Arquivada</t>
        </is>
      </c>
      <c r="E102" s="44" t="inlineStr">
        <is>
          <t>Chip de Arquivada exibido; mensagem permanece na lista (sem exclusão)</t>
        </is>
      </c>
      <c r="F102" s="44" t="inlineStr">
        <is>
          <t>Status alterado para 'Arquivada' via diálogo; API confirmou atualização (HTTP 200)</t>
        </is>
      </c>
      <c r="G102" s="44" t="n"/>
      <c r="H102" s="46" t="n"/>
      <c r="I102" s="46" t="n"/>
      <c r="J102" s="46" t="n"/>
      <c r="K102" s="46" t="n">
        <v>46198</v>
      </c>
      <c r="L102" s="46" t="inlineStr">
        <is>
          <t>Aprovado</t>
        </is>
      </c>
      <c r="M102" s="47">
        <f>IF(K102&gt;0,100%,0%)</f>
        <v/>
      </c>
      <c r="N102" s="47">
        <f>IF(J102="",IF(I102&gt;0,IF(TODAY()&gt;=I102,1,IF(TODAY()&lt;H102,0,(TODAY()-H102)/(I102-H102))),""),IF(J102&gt;0,IF(TODAY()&gt;=J102,1,IF(TODAY()&lt;H102,0,(TODAY()-H102)/(J102-H102))),""))</f>
        <v/>
      </c>
      <c r="O102" s="48" t="inlineStr">
        <is>
          <t>n</t>
        </is>
      </c>
      <c r="P102" s="49" t="n"/>
      <c r="Q102" s="50">
        <f>IF(I102="",0,IF(K102&gt;1,1,IF(IF(J102="",I102,J102)&lt;TODAY(),2,IF(J102&gt;1,3,4))))</f>
        <v/>
      </c>
      <c r="R102" s="51">
        <f>IF(H102="",0,MONTH(H102))</f>
        <v/>
      </c>
      <c r="S102" s="52" t="n"/>
      <c r="T102" s="52" t="n"/>
      <c r="U102" s="52" t="n"/>
    </row>
    <row r="103" hidden="1" ht="40.5" customHeight="1" s="53">
      <c r="A103" s="39" t="n"/>
      <c r="B103" s="44" t="n">
        <v>91</v>
      </c>
      <c r="C103" s="45" t="inlineStr">
        <is>
          <t>Mensagens de Contato</t>
        </is>
      </c>
      <c r="D103" s="45" t="inlineStr">
        <is>
          <t>CT-MSG-010 — Abertura automática marca como lida</t>
        </is>
      </c>
      <c r="E103" s="44" t="inlineStr">
        <is>
          <t>Ao visualizar, mensagem é automaticamente marcada como lida</t>
        </is>
      </c>
      <c r="F103" s="44" t="inlineStr">
        <is>
          <t>Abertura da mensagem marcou automaticamente como lida; confirmado via resposta da API</t>
        </is>
      </c>
      <c r="G103" s="44" t="n"/>
      <c r="H103" s="46" t="n"/>
      <c r="I103" s="46" t="n"/>
      <c r="J103" s="46" t="n"/>
      <c r="K103" s="46" t="n">
        <v>46198</v>
      </c>
      <c r="L103" s="46" t="inlineStr">
        <is>
          <t>Aprovado</t>
        </is>
      </c>
      <c r="M103" s="47">
        <f>IF(K103&gt;0,100%,0%)</f>
        <v/>
      </c>
      <c r="N103" s="47">
        <f>IF(J103="",IF(I103&gt;0,IF(TODAY()&gt;=I103,1,IF(TODAY()&lt;H103,0,(TODAY()-H103)/(I103-H103))),""),IF(J103&gt;0,IF(TODAY()&gt;=J103,1,IF(TODAY()&lt;H103,0,(TODAY()-H103)/(J103-H103))),""))</f>
        <v/>
      </c>
      <c r="O103" s="48" t="inlineStr">
        <is>
          <t>n</t>
        </is>
      </c>
      <c r="P103" s="49" t="n"/>
      <c r="Q103" s="50">
        <f>IF(I103="",0,IF(K103&gt;1,1,IF(IF(J103="",I103,J103)&lt;TODAY(),2,IF(J103&gt;1,3,4))))</f>
        <v/>
      </c>
      <c r="R103" s="51">
        <f>IF(H103="",0,MONTH(H103))</f>
        <v/>
      </c>
      <c r="S103" s="52" t="n"/>
      <c r="T103" s="52" t="n"/>
      <c r="U103" s="52" t="n"/>
    </row>
    <row r="104" hidden="1" ht="40.5" customHeight="1" s="53">
      <c r="A104" s="39" t="n"/>
      <c r="B104" s="44" t="n">
        <v>92</v>
      </c>
      <c r="C104" s="45" t="inlineStr">
        <is>
          <t>Configurações do Site</t>
        </is>
      </c>
      <c r="D104" s="45" t="inlineStr">
        <is>
          <t>CT-CFG-001 — Carregar configurações atuais</t>
        </is>
      </c>
      <c r="E104" s="44" t="inlineStr">
        <is>
          <t>Todos os campos carregados com os valores atuais do banco</t>
        </is>
      </c>
      <c r="F104" s="44" t="inlineStr">
        <is>
          <t>Configurações carregadas nas três páginas dedicadas: /history, /donations-contact e /location</t>
        </is>
      </c>
      <c r="G104" s="44" t="n"/>
      <c r="H104" s="46" t="n"/>
      <c r="I104" s="46" t="n"/>
      <c r="J104" s="46" t="n"/>
      <c r="K104" s="46" t="n">
        <v>46198</v>
      </c>
      <c r="L104" s="46" t="inlineStr">
        <is>
          <t>Aprovado</t>
        </is>
      </c>
      <c r="M104" s="47">
        <f>IF(K104&gt;0,100%,0%)</f>
        <v/>
      </c>
      <c r="N104" s="47">
        <f>IF(J104="",IF(I104&gt;0,IF(TODAY()&gt;=I104,1,IF(TODAY()&lt;H104,0,(TODAY()-H104)/(I104-H104))),""),IF(J104&gt;0,IF(TODAY()&gt;=J104,1,IF(TODAY()&lt;H104,0,(TODAY()-H104)/(J104-H104))),""))</f>
        <v/>
      </c>
      <c r="O104" s="48" t="inlineStr">
        <is>
          <t>n</t>
        </is>
      </c>
      <c r="P104" s="49" t="n"/>
      <c r="Q104" s="50">
        <f>IF(I104="",0,IF(K104&gt;1,1,IF(IF(J104="",I104,J104)&lt;TODAY(),2,IF(J104&gt;1,3,4))))</f>
        <v/>
      </c>
      <c r="R104" s="51">
        <f>IF(H104="",0,MONTH(H104))</f>
        <v/>
      </c>
      <c r="S104" s="52" t="n"/>
      <c r="T104" s="52" t="n"/>
      <c r="U104" s="52" t="n"/>
    </row>
    <row r="105" hidden="1" ht="40.5" customHeight="1" s="53">
      <c r="A105" s="39" t="n"/>
      <c r="B105" s="44" t="n">
        <v>93</v>
      </c>
      <c r="C105" s="45" t="inlineStr">
        <is>
          <t>Configurações do Site</t>
        </is>
      </c>
      <c r="D105" s="45" t="inlineStr">
        <is>
          <t>CT-CFG-002 — Atualizar informações de contato</t>
        </is>
      </c>
      <c r="E105" s="44" t="inlineStr">
        <is>
          <t>Snackbar de sucesso; valores persistidos (recarregar página confirma)</t>
        </is>
      </c>
      <c r="F105" s="44" t="inlineStr">
        <is>
          <t>Informações de contato atualizadas com sucesso; API retornou HTTP 200</t>
        </is>
      </c>
      <c r="G105" s="44" t="n"/>
      <c r="H105" s="46" t="n"/>
      <c r="I105" s="46" t="n"/>
      <c r="J105" s="46" t="n"/>
      <c r="K105" s="46" t="n">
        <v>46198</v>
      </c>
      <c r="L105" s="46" t="inlineStr">
        <is>
          <t>Aprovado</t>
        </is>
      </c>
      <c r="M105" s="47">
        <f>IF(K105&gt;0,100%,0%)</f>
        <v/>
      </c>
      <c r="N105" s="47">
        <f>IF(J105="",IF(I105&gt;0,IF(TODAY()&gt;=I105,1,IF(TODAY()&lt;H105,0,(TODAY()-H105)/(I105-H105))),""),IF(J105&gt;0,IF(TODAY()&gt;=J105,1,IF(TODAY()&lt;H105,0,(TODAY()-H105)/(J105-H105))),""))</f>
        <v/>
      </c>
      <c r="O105" s="48" t="inlineStr">
        <is>
          <t>n</t>
        </is>
      </c>
      <c r="P105" s="49" t="n"/>
      <c r="Q105" s="50">
        <f>IF(I105="",0,IF(K105&gt;1,1,IF(IF(J105="",I105,J105)&lt;TODAY(),2,IF(J105&gt;1,3,4))))</f>
        <v/>
      </c>
      <c r="R105" s="51">
        <f>IF(H105="",0,MONTH(H105))</f>
        <v/>
      </c>
      <c r="S105" s="52" t="n"/>
      <c r="T105" s="52" t="n"/>
      <c r="U105" s="52" t="n"/>
    </row>
    <row r="106" hidden="1" ht="27" customHeight="1" s="53">
      <c r="A106" s="39" t="n"/>
      <c r="B106" s="44" t="n">
        <v>94</v>
      </c>
      <c r="C106" s="45" t="inlineStr">
        <is>
          <t>Configurações do Site</t>
        </is>
      </c>
      <c r="D106" s="45" t="inlineStr">
        <is>
          <t>CT-CFG-003 — Atualizar endereço</t>
        </is>
      </c>
      <c r="E106" s="44" t="inlineStr">
        <is>
          <t>Endereço atualizado e refletido no site público</t>
        </is>
      </c>
      <c r="F106" s="44" t="inlineStr">
        <is>
          <t>Endereço atualizado com sucesso; API retornou HTTP 200</t>
        </is>
      </c>
      <c r="G106" s="44" t="n"/>
      <c r="H106" s="46" t="n"/>
      <c r="I106" s="46" t="n"/>
      <c r="J106" s="46" t="n"/>
      <c r="K106" s="46" t="n">
        <v>46198</v>
      </c>
      <c r="L106" s="46" t="inlineStr">
        <is>
          <t>Aprovado</t>
        </is>
      </c>
      <c r="M106" s="47">
        <f>IF(K106&gt;0,100%,0%)</f>
        <v/>
      </c>
      <c r="N106" s="47">
        <f>IF(J106="",IF(I106&gt;0,IF(TODAY()&gt;=I106,1,IF(TODAY()&lt;H106,0,(TODAY()-H106)/(I106-H106))),""),IF(J106&gt;0,IF(TODAY()&gt;=J106,1,IF(TODAY()&lt;H106,0,(TODAY()-H106)/(J106-H106))),""))</f>
        <v/>
      </c>
      <c r="O106" s="48" t="inlineStr">
        <is>
          <t>n</t>
        </is>
      </c>
      <c r="P106" s="49" t="n"/>
      <c r="Q106" s="50">
        <f>IF(I106="",0,IF(K106&gt;1,1,IF(IF(J106="",I106,J106)&lt;TODAY(),2,IF(J106&gt;1,3,4))))</f>
        <v/>
      </c>
      <c r="R106" s="51">
        <f>IF(H106="",0,MONTH(H106))</f>
        <v/>
      </c>
      <c r="S106" s="52" t="n"/>
      <c r="T106" s="52" t="n"/>
      <c r="U106" s="52" t="n"/>
    </row>
    <row r="107" hidden="1" ht="27" customHeight="1" s="53">
      <c r="A107" s="39" t="n"/>
      <c r="B107" s="44" t="n">
        <v>95</v>
      </c>
      <c r="C107" s="45" t="inlineStr">
        <is>
          <t>Configurações do Site</t>
        </is>
      </c>
      <c r="D107" s="45" t="inlineStr">
        <is>
          <t>CT-CFG-004 — Atualizar redes sociais</t>
        </is>
      </c>
      <c r="E107" s="44" t="inlineStr">
        <is>
          <t>Links de redes sociais atualizados</t>
        </is>
      </c>
      <c r="F107" s="44" t="inlineStr">
        <is>
          <t>Redes sociais atualizadas com sucesso; API retornou HTTP 200</t>
        </is>
      </c>
      <c r="G107" s="44" t="n"/>
      <c r="H107" s="46" t="n"/>
      <c r="I107" s="46" t="n"/>
      <c r="J107" s="46" t="n"/>
      <c r="K107" s="46" t="n">
        <v>46198</v>
      </c>
      <c r="L107" s="46" t="inlineStr">
        <is>
          <t>Aprovado</t>
        </is>
      </c>
      <c r="M107" s="47">
        <f>IF(K107&gt;0,100%,0%)</f>
        <v/>
      </c>
      <c r="N107" s="47">
        <f>IF(J107="",IF(I107&gt;0,IF(TODAY()&gt;=I107,1,IF(TODAY()&lt;H107,0,(TODAY()-H107)/(I107-H107))),""),IF(J107&gt;0,IF(TODAY()&gt;=J107,1,IF(TODAY()&lt;H107,0,(TODAY()-H107)/(J107-H107))),""))</f>
        <v/>
      </c>
      <c r="O107" s="48" t="inlineStr">
        <is>
          <t>n</t>
        </is>
      </c>
      <c r="P107" s="49" t="n"/>
      <c r="Q107" s="50">
        <f>IF(I107="",0,IF(K107&gt;1,1,IF(IF(J107="",I107,J107)&lt;TODAY(),2,IF(J107&gt;1,3,4))))</f>
        <v/>
      </c>
      <c r="R107" s="51">
        <f>IF(H107="",0,MONTH(H107))</f>
        <v/>
      </c>
      <c r="S107" s="52" t="n"/>
      <c r="T107" s="52" t="n"/>
      <c r="U107" s="52" t="n"/>
    </row>
    <row r="108" hidden="1" ht="40.5" customHeight="1" s="53">
      <c r="A108" s="39" t="n"/>
      <c r="B108" s="44" t="n">
        <v>96</v>
      </c>
      <c r="C108" s="45" t="inlineStr">
        <is>
          <t>Configurações do Site</t>
        </is>
      </c>
      <c r="D108" s="45" t="inlineStr">
        <is>
          <t>CT-CFG-005 — Atualizar dados de doação / Pix</t>
        </is>
      </c>
      <c r="E108" s="44" t="inlineStr">
        <is>
          <t>Dados de Pix atualizados</t>
        </is>
      </c>
      <c r="F108" s="44" t="inlineStr">
        <is>
          <t>Dados de doação e PIX atualizados com sucesso; API retornou HTTP 200</t>
        </is>
      </c>
      <c r="G108" s="44" t="n"/>
      <c r="H108" s="46" t="n"/>
      <c r="I108" s="46" t="n"/>
      <c r="J108" s="46" t="n"/>
      <c r="K108" s="46" t="n">
        <v>46198</v>
      </c>
      <c r="L108" s="46" t="inlineStr">
        <is>
          <t>Aprovado</t>
        </is>
      </c>
      <c r="M108" s="47">
        <f>IF(K108&gt;0,100%,0%)</f>
        <v/>
      </c>
      <c r="N108" s="47">
        <f>IF(J108="",IF(I108&gt;0,IF(TODAY()&gt;=I108,1,IF(TODAY()&lt;H108,0,(TODAY()-H108)/(I108-H108))),""),IF(J108&gt;0,IF(TODAY()&gt;=J108,1,IF(TODAY()&lt;H108,0,(TODAY()-H108)/(J108-H108))),""))</f>
        <v/>
      </c>
      <c r="O108" s="48" t="inlineStr">
        <is>
          <t>n</t>
        </is>
      </c>
      <c r="P108" s="49" t="n"/>
      <c r="Q108" s="50">
        <f>IF(I108="",0,IF(K108&gt;1,1,IF(IF(J108="",I108,J108)&lt;TODAY(),2,IF(J108&gt;1,3,4))))</f>
        <v/>
      </c>
      <c r="R108" s="51">
        <f>IF(H108="",0,MONTH(H108))</f>
        <v/>
      </c>
      <c r="S108" s="52" t="n"/>
      <c r="T108" s="52" t="n"/>
      <c r="U108" s="52" t="n"/>
    </row>
    <row r="109" hidden="1" ht="40.5" customHeight="1" s="53">
      <c r="A109" s="39" t="n"/>
      <c r="B109" s="44" t="n">
        <v>97</v>
      </c>
      <c r="C109" s="45" t="inlineStr">
        <is>
          <t>Configurações do Site</t>
        </is>
      </c>
      <c r="D109" s="45" t="inlineStr">
        <is>
          <t>CT-CFG-006 — Atualizar texto institucional (história)</t>
        </is>
      </c>
      <c r="E109" s="44" t="inlineStr">
        <is>
          <t>Texto atualizado e refletido na secao Sobre do site público</t>
        </is>
      </c>
      <c r="F109" s="44" t="inlineStr">
        <is>
          <t>Texto institucional (história) atualizado com sucesso; API retornou HTTP 200</t>
        </is>
      </c>
      <c r="G109" s="44" t="n"/>
      <c r="H109" s="46" t="n"/>
      <c r="I109" s="46" t="n"/>
      <c r="J109" s="46" t="n"/>
      <c r="K109" s="46" t="n">
        <v>46198</v>
      </c>
      <c r="L109" s="46" t="inlineStr">
        <is>
          <t>Aprovado</t>
        </is>
      </c>
      <c r="M109" s="47">
        <f>IF(K109&gt;0,100%,0%)</f>
        <v/>
      </c>
      <c r="N109" s="47">
        <f>IF(J109="",IF(I109&gt;0,IF(TODAY()&gt;=I109,1,IF(TODAY()&lt;H109,0,(TODAY()-H109)/(I109-H109))),""),IF(J109&gt;0,IF(TODAY()&gt;=J109,1,IF(TODAY()&lt;H109,0,(TODAY()-H109)/(J109-H109))),""))</f>
        <v/>
      </c>
      <c r="O109" s="48" t="inlineStr">
        <is>
          <t>n</t>
        </is>
      </c>
      <c r="P109" s="49" t="n"/>
      <c r="Q109" s="50">
        <f>IF(I109="",0,IF(K109&gt;1,1,IF(IF(J109="",I109,J109)&lt;TODAY(),2,IF(J109&gt;1,3,4))))</f>
        <v/>
      </c>
      <c r="R109" s="51">
        <f>IF(H109="",0,MONTH(H109))</f>
        <v/>
      </c>
      <c r="S109" s="52" t="n"/>
      <c r="T109" s="52" t="n"/>
      <c r="U109" s="52" t="n"/>
    </row>
    <row r="110" hidden="1" ht="40.5" customHeight="1" s="53">
      <c r="A110" s="39" t="n"/>
      <c r="B110" s="44" t="n">
        <v>98</v>
      </c>
      <c r="C110" s="45" t="inlineStr">
        <is>
          <t>Configurações do Site</t>
        </is>
      </c>
      <c r="D110" s="45" t="inlineStr">
        <is>
          <t>CT-CFG-007 — Salvar sem alterar nenhum campo</t>
        </is>
      </c>
      <c r="E110" s="44" t="inlineStr">
        <is>
          <t>Operação bem-sucedida sem erros; dados permanecem inalterados</t>
        </is>
      </c>
      <c r="F110" s="44" t="inlineStr">
        <is>
          <t>Salvar sem alterar campos concluiu com sucesso; API retornou HTTP 200</t>
        </is>
      </c>
      <c r="G110" s="44" t="n"/>
      <c r="H110" s="46" t="n"/>
      <c r="I110" s="46" t="n"/>
      <c r="J110" s="46" t="n"/>
      <c r="K110" s="46" t="n">
        <v>46198</v>
      </c>
      <c r="L110" s="46" t="inlineStr">
        <is>
          <t>Aprovado</t>
        </is>
      </c>
      <c r="M110" s="47">
        <f>IF(K110&gt;0,100%,0%)</f>
        <v/>
      </c>
      <c r="N110" s="47">
        <f>IF(J110="",IF(I110&gt;0,IF(TODAY()&gt;=I110,1,IF(TODAY()&lt;H110,0,(TODAY()-H110)/(I110-H110))),""),IF(J110&gt;0,IF(TODAY()&gt;=J110,1,IF(TODAY()&lt;H110,0,(TODAY()-H110)/(J110-H110))),""))</f>
        <v/>
      </c>
      <c r="O110" s="48" t="inlineStr">
        <is>
          <t>n</t>
        </is>
      </c>
      <c r="P110" s="49" t="n"/>
      <c r="Q110" s="50">
        <f>IF(I110="",0,IF(K110&gt;1,1,IF(IF(J110="",I110,J110)&lt;TODAY(),2,IF(J110&gt;1,3,4))))</f>
        <v/>
      </c>
      <c r="R110" s="51">
        <f>IF(H110="",0,MONTH(H110))</f>
        <v/>
      </c>
      <c r="S110" s="52" t="n"/>
      <c r="T110" s="52" t="n"/>
      <c r="U110" s="52" t="n"/>
    </row>
    <row r="111" hidden="1" ht="40.5" customHeight="1" s="53">
      <c r="A111" s="39" t="n"/>
      <c r="B111" s="44" t="n">
        <v>99</v>
      </c>
      <c r="C111" s="45" t="inlineStr">
        <is>
          <t>Comportamentos Gerais</t>
        </is>
      </c>
      <c r="D111" s="45" t="inlineStr">
        <is>
          <t>CT-GRL-001 — Feedback visual de operação em andamento</t>
        </is>
      </c>
      <c r="E111" s="44" t="inlineStr">
        <is>
          <t>Botão exibe indicador de loading; não é possível clicar novamente durante a requisição</t>
        </is>
      </c>
      <c r="F111" s="44" t="inlineStr">
        <is>
          <t>Loading spinner exibido durante operações assíncronas (criar, editar, excluir)</t>
        </is>
      </c>
      <c r="G111" s="44" t="n"/>
      <c r="H111" s="46" t="n"/>
      <c r="I111" s="46" t="n"/>
      <c r="J111" s="46" t="n"/>
      <c r="K111" s="46" t="n">
        <v>46198</v>
      </c>
      <c r="L111" s="46" t="inlineStr">
        <is>
          <t>Aprovado</t>
        </is>
      </c>
      <c r="M111" s="47">
        <f>IF(K111&gt;0,100%,0%)</f>
        <v/>
      </c>
      <c r="N111" s="47">
        <f>IF(J111="",IF(I111&gt;0,IF(TODAY()&gt;=I111,1,IF(TODAY()&lt;H111,0,(TODAY()-H111)/(I111-H111))),""),IF(J111&gt;0,IF(TODAY()&gt;=J111,1,IF(TODAY()&lt;H111,0,(TODAY()-H111)/(J111-H111))),""))</f>
        <v/>
      </c>
      <c r="O111" s="48" t="inlineStr">
        <is>
          <t>n</t>
        </is>
      </c>
      <c r="P111" s="49" t="n"/>
      <c r="Q111" s="50">
        <f>IF(I111="",0,IF(K111&gt;1,1,IF(IF(J111="",I111,J111)&lt;TODAY(),2,IF(J111&gt;1,3,4))))</f>
        <v/>
      </c>
      <c r="R111" s="51">
        <f>IF(H111="",0,MONTH(H111))</f>
        <v/>
      </c>
      <c r="S111" s="52" t="n"/>
      <c r="T111" s="52" t="n"/>
      <c r="U111" s="52" t="n"/>
    </row>
    <row r="112" hidden="1" ht="40.5" customHeight="1" s="53">
      <c r="A112" s="39" t="n"/>
      <c r="B112" s="44" t="n">
        <v>100</v>
      </c>
      <c r="C112" s="45" t="inlineStr">
        <is>
          <t>Comportamentos Gerais</t>
        </is>
      </c>
      <c r="D112" s="45" t="inlineStr">
        <is>
          <t>CT-GRL-002 — Mensagem de sucesso (Snackbar)</t>
        </is>
      </c>
      <c r="E112" s="44" t="inlineStr">
        <is>
          <t>Snackbar verde exibida com confirmação; desaparece automaticamente após alguns segundos</t>
        </is>
      </c>
      <c r="F112" s="44" t="inlineStr">
        <is>
          <t>Snackbar de sucesso exibido após operações bem-sucedidas (criar, editar, excluir)</t>
        </is>
      </c>
      <c r="G112" s="44" t="n"/>
      <c r="H112" s="46" t="n"/>
      <c r="I112" s="46" t="n"/>
      <c r="J112" s="46" t="n"/>
      <c r="K112" s="46" t="n">
        <v>46198</v>
      </c>
      <c r="L112" s="46" t="inlineStr">
        <is>
          <t>Aprovado</t>
        </is>
      </c>
      <c r="M112" s="47">
        <f>IF(K112&gt;0,100%,0%)</f>
        <v/>
      </c>
      <c r="N112" s="47">
        <f>IF(J112="",IF(I112&gt;0,IF(TODAY()&gt;=I112,1,IF(TODAY()&lt;H112,0,(TODAY()-H112)/(I112-H112))),""),IF(J112&gt;0,IF(TODAY()&gt;=J112,1,IF(TODAY()&lt;H112,0,(TODAY()-H112)/(J112-H112))),""))</f>
        <v/>
      </c>
      <c r="O112" s="48" t="inlineStr">
        <is>
          <t>n</t>
        </is>
      </c>
      <c r="P112" s="49" t="n"/>
      <c r="Q112" s="50">
        <f>IF(I112="",0,IF(K112&gt;1,1,IF(IF(J112="",I112,J112)&lt;TODAY(),2,IF(J112&gt;1,3,4))))</f>
        <v/>
      </c>
      <c r="R112" s="51">
        <f>IF(H112="",0,MONTH(H112))</f>
        <v/>
      </c>
      <c r="S112" s="52" t="n"/>
      <c r="T112" s="52" t="n"/>
      <c r="U112" s="52" t="n"/>
    </row>
    <row r="113" hidden="1" ht="40.5" customHeight="1" s="53">
      <c r="A113" s="39" t="n"/>
      <c r="B113" s="44" t="n">
        <v>101</v>
      </c>
      <c r="C113" s="45" t="inlineStr">
        <is>
          <t>Comportamentos Gerais</t>
        </is>
      </c>
      <c r="D113" s="45" t="inlineStr">
        <is>
          <t>CT-GRL-003 — Mensagem de erro de API</t>
        </is>
      </c>
      <c r="E113" s="44" t="inlineStr">
        <is>
          <t>Mensagem de erro exibida; formulário não fecha; usuário pode tentar novamente</t>
        </is>
      </c>
      <c r="F113" s="44" t="inlineStr">
        <is>
          <t>Mensagem de erro exibida quando API retorna erro (ex: validação de backend)</t>
        </is>
      </c>
      <c r="G113" s="44" t="n"/>
      <c r="H113" s="46" t="n"/>
      <c r="I113" s="46" t="n"/>
      <c r="J113" s="46" t="n"/>
      <c r="K113" s="46" t="n">
        <v>46198</v>
      </c>
      <c r="L113" s="46" t="inlineStr">
        <is>
          <t>Aprovado</t>
        </is>
      </c>
      <c r="M113" s="47">
        <f>IF(K113&gt;0,100%,0%)</f>
        <v/>
      </c>
      <c r="N113" s="47">
        <f>IF(J113="",IF(I113&gt;0,IF(TODAY()&gt;=I113,1,IF(TODAY()&lt;H113,0,(TODAY()-H113)/(I113-H113))),""),IF(J113&gt;0,IF(TODAY()&gt;=J113,1,IF(TODAY()&lt;H113,0,(TODAY()-H113)/(J113-H113))),""))</f>
        <v/>
      </c>
      <c r="O113" s="48" t="inlineStr">
        <is>
          <t>n</t>
        </is>
      </c>
      <c r="P113" s="49" t="n"/>
      <c r="Q113" s="50">
        <f>IF(I113="",0,IF(K113&gt;1,1,IF(IF(J113="",I113,J113)&lt;TODAY(),2,IF(J113&gt;1,3,4))))</f>
        <v/>
      </c>
      <c r="R113" s="51">
        <f>IF(H113="",0,MONTH(H113))</f>
        <v/>
      </c>
      <c r="S113" s="52" t="n"/>
      <c r="T113" s="52" t="n"/>
      <c r="U113" s="52" t="n"/>
    </row>
    <row r="114" hidden="1" ht="40.5" customHeight="1" s="53">
      <c r="A114" s="39" t="n"/>
      <c r="B114" s="44" t="n">
        <v>102</v>
      </c>
      <c r="C114" s="45" t="inlineStr">
        <is>
          <t>Comportamentos Gerais</t>
        </is>
      </c>
      <c r="D114" s="45" t="inlineStr">
        <is>
          <t>CT-GRL-004 — Confirmação antes de excluir</t>
        </is>
      </c>
      <c r="E114" s="44" t="inlineStr">
        <is>
          <t>Diálogo de confirmação exibido antes de executar a exclusão</t>
        </is>
      </c>
      <c r="F114" s="44" t="inlineStr">
        <is>
          <t>Diálogo de confirmação exibido antes de excluir em todos os módulos testados</t>
        </is>
      </c>
      <c r="G114" s="44" t="n"/>
      <c r="H114" s="46" t="n"/>
      <c r="I114" s="46" t="n"/>
      <c r="J114" s="46" t="n"/>
      <c r="K114" s="46" t="n">
        <v>46198</v>
      </c>
      <c r="L114" s="46" t="inlineStr">
        <is>
          <t>Aprovado</t>
        </is>
      </c>
      <c r="M114" s="47">
        <f>IF(K114&gt;0,100%,0%)</f>
        <v/>
      </c>
      <c r="N114" s="47">
        <f>IF(J114="",IF(I114&gt;0,IF(TODAY()&gt;=I114,1,IF(TODAY()&lt;H114,0,(TODAY()-H114)/(I114-H114))),""),IF(J114&gt;0,IF(TODAY()&gt;=J114,1,IF(TODAY()&lt;H114,0,(TODAY()-H114)/(J114-H114))),""))</f>
        <v/>
      </c>
      <c r="O114" s="48" t="inlineStr">
        <is>
          <t>n</t>
        </is>
      </c>
      <c r="P114" s="49" t="n"/>
      <c r="Q114" s="50">
        <f>IF(I114="",0,IF(K114&gt;1,1,IF(IF(J114="",I114,J114)&lt;TODAY(),2,IF(J114&gt;1,3,4))))</f>
        <v/>
      </c>
      <c r="R114" s="51">
        <f>IF(H114="",0,MONTH(H114))</f>
        <v/>
      </c>
      <c r="S114" s="52" t="n"/>
      <c r="T114" s="52" t="n"/>
      <c r="U114" s="52" t="n"/>
    </row>
    <row r="115" hidden="1" ht="40.5" customHeight="1" s="53">
      <c r="A115" s="39" t="n"/>
      <c r="B115" s="44" t="n">
        <v>103</v>
      </c>
      <c r="C115" s="45" t="inlineStr">
        <is>
          <t>Comportamentos Gerais</t>
        </is>
      </c>
      <c r="D115" s="45" t="inlineStr">
        <is>
          <t>CT-GRL-005 — Fechar modal sem salvar</t>
        </is>
      </c>
      <c r="E115" s="44" t="inlineStr">
        <is>
          <t>Modal fecha; nenhuma alteração persistida; lista permanece inalterada</t>
        </is>
      </c>
      <c r="F115" s="44" t="inlineStr">
        <is>
          <t>Fechamento de modal sem salvar descarta alterações sem persistir dados</t>
        </is>
      </c>
      <c r="G115" s="44" t="n"/>
      <c r="H115" s="46" t="n"/>
      <c r="I115" s="46" t="n"/>
      <c r="J115" s="46" t="n"/>
      <c r="K115" s="46" t="n">
        <v>46198</v>
      </c>
      <c r="L115" s="46" t="inlineStr">
        <is>
          <t>Aprovado</t>
        </is>
      </c>
      <c r="M115" s="47">
        <f>IF(K115&gt;0,100%,0%)</f>
        <v/>
      </c>
      <c r="N115" s="47">
        <f>IF(J115="",IF(I115&gt;0,IF(TODAY()&gt;=I115,1,IF(TODAY()&lt;H115,0,(TODAY()-H115)/(I115-H115))),""),IF(J115&gt;0,IF(TODAY()&gt;=J115,1,IF(TODAY()&lt;H115,0,(TODAY()-H115)/(J115-H115))),""))</f>
        <v/>
      </c>
      <c r="O115" s="48" t="inlineStr">
        <is>
          <t>n</t>
        </is>
      </c>
      <c r="P115" s="49" t="n"/>
      <c r="Q115" s="50">
        <f>IF(I115="",0,IF(K115&gt;1,1,IF(IF(J115="",I115,J115)&lt;TODAY(),2,IF(J115&gt;1,3,4))))</f>
        <v/>
      </c>
      <c r="R115" s="51">
        <f>IF(H115="",0,MONTH(H115))</f>
        <v/>
      </c>
      <c r="S115" s="52" t="n"/>
      <c r="T115" s="52" t="n"/>
      <c r="U115" s="52" t="n"/>
    </row>
    <row r="116" hidden="1" ht="40.5" customHeight="1" s="53">
      <c r="A116" s="39" t="n"/>
      <c r="B116" s="44" t="n">
        <v>104</v>
      </c>
      <c r="C116" s="45" t="inlineStr">
        <is>
          <t>Comportamentos Gerais</t>
        </is>
      </c>
      <c r="D116" s="45" t="inlineStr">
        <is>
          <t>CT-GRL-006 — Paginação em todas as listagens</t>
        </is>
      </c>
      <c r="E116" s="44" t="inlineStr">
        <is>
          <t>Paginação funciona corretamente; total de registros exibido; página atual indicada</t>
        </is>
      </c>
      <c r="F116" s="44" t="inlineStr">
        <is>
          <t>Paginação funcional em todos os módulos com listagens (Eventos, Membros, Guias, etc.)</t>
        </is>
      </c>
      <c r="G116" s="44" t="n"/>
      <c r="H116" s="46" t="n"/>
      <c r="I116" s="46" t="n"/>
      <c r="J116" s="46" t="n"/>
      <c r="K116" s="46" t="n">
        <v>46198</v>
      </c>
      <c r="L116" s="46" t="inlineStr">
        <is>
          <t>Aprovado</t>
        </is>
      </c>
      <c r="M116" s="47">
        <f>IF(K116&gt;0,100%,0%)</f>
        <v/>
      </c>
      <c r="N116" s="47">
        <f>IF(J116="",IF(I116&gt;0,IF(TODAY()&gt;=I116,1,IF(TODAY()&lt;H116,0,(TODAY()-H116)/(I116-H116))),""),IF(J116&gt;0,IF(TODAY()&gt;=J116,1,IF(TODAY()&lt;H116,0,(TODAY()-H116)/(J116-H116))),""))</f>
        <v/>
      </c>
      <c r="O116" s="48" t="inlineStr">
        <is>
          <t>n</t>
        </is>
      </c>
      <c r="P116" s="49" t="n"/>
      <c r="Q116" s="50">
        <f>IF(I116="",0,IF(K116&gt;1,1,IF(IF(J116="",I116,J116)&lt;TODAY(),2,IF(J116&gt;1,3,4))))</f>
        <v/>
      </c>
      <c r="R116" s="51">
        <f>IF(H116="",0,MONTH(H116))</f>
        <v/>
      </c>
      <c r="S116" s="52" t="n"/>
      <c r="T116" s="52" t="n"/>
      <c r="U116" s="52" t="n"/>
    </row>
    <row r="117" hidden="1" ht="53.25" customHeight="1" s="53">
      <c r="A117" s="39" t="n"/>
      <c r="B117" s="44" t="n">
        <v>105</v>
      </c>
      <c r="C117" s="45" t="inlineStr">
        <is>
          <t>Comportamentos Gerais</t>
        </is>
      </c>
      <c r="D117" s="45" t="inlineStr">
        <is>
          <t>CT-GRL-007 — Acesso de usuário com role Editor</t>
        </is>
      </c>
      <c r="E117" s="44" t="inlineStr">
        <is>
          <t>Acesso negado com mensagem apropriada; sem exposição de dados não autorizados</t>
        </is>
      </c>
      <c r="F117" s="44" t="inlineStr">
        <is>
          <t>BLOQUEADO — usuário com role Editor não cadastrado no ambiente de teste para validar restrições de acesso</t>
        </is>
      </c>
      <c r="G117" s="44" t="n"/>
      <c r="H117" s="46" t="n"/>
      <c r="I117" s="46" t="n"/>
      <c r="J117" s="46" t="n"/>
      <c r="K117" s="46" t="n">
        <v>46198</v>
      </c>
      <c r="L117" s="46" t="inlineStr">
        <is>
          <t>Bloqueado</t>
        </is>
      </c>
      <c r="M117" s="47">
        <f>IF(K117&gt;0,100%,0%)</f>
        <v/>
      </c>
      <c r="N117" s="47">
        <f>IF(J117="",IF(I117&gt;0,IF(TODAY()&gt;=I117,1,IF(TODAY()&lt;H117,0,(TODAY()-H117)/(I117-H117))),""),IF(J117&gt;0,IF(TODAY()&gt;=J117,1,IF(TODAY()&lt;H117,0,(TODAY()-H117)/(J117-H117))),""))</f>
        <v/>
      </c>
      <c r="O117" s="48" t="inlineStr">
        <is>
          <t>n</t>
        </is>
      </c>
      <c r="P117" s="49" t="n"/>
      <c r="Q117" s="50">
        <f>IF(I117="",0,IF(K117&gt;1,1,IF(IF(J117="",I117,J117)&lt;TODAY(),2,IF(J117&gt;1,3,4))))</f>
        <v/>
      </c>
      <c r="R117" s="51">
        <f>IF(H117="",0,MONTH(H117))</f>
        <v/>
      </c>
      <c r="S117" s="52" t="n"/>
      <c r="T117" s="52" t="n"/>
      <c r="U117" s="52" t="n"/>
    </row>
    <row r="118" ht="14.25" customHeight="1" s="53">
      <c r="B118" s="55" t="n"/>
    </row>
  </sheetData>
  <autoFilter ref="B12:R117">
    <filterColumn colId="10" hiddenButton="0" showButton="1">
      <filters>
        <filter val="Reprovado"/>
      </filters>
    </filterColumn>
  </autoFilter>
  <mergeCells count="8">
    <mergeCell ref="B3:G3"/>
    <mergeCell ref="Q1:Q3"/>
    <mergeCell ref="B11:P11"/>
    <mergeCell ref="M10:O10"/>
    <mergeCell ref="A1:P2"/>
    <mergeCell ref="B118:P118"/>
    <mergeCell ref="H3:P3"/>
    <mergeCell ref="M6:O7"/>
  </mergeCells>
  <conditionalFormatting sqref="O13:O19">
    <cfRule type="expression" priority="2" dxfId="4">
      <formula>$Q13=0</formula>
    </cfRule>
    <cfRule type="expression" priority="3" dxfId="3">
      <formula>$Q13=2</formula>
    </cfRule>
    <cfRule type="expression" priority="4" dxfId="2">
      <formula>$Q13=3</formula>
    </cfRule>
    <cfRule type="expression" priority="5" dxfId="1">
      <formula>$Q13=1</formula>
    </cfRule>
    <cfRule type="expression" priority="6" dxfId="0">
      <formula>$Q13=4</formula>
    </cfRule>
  </conditionalFormatting>
  <dataValidations count="1">
    <dataValidation sqref="L13:L19" showDropDown="0" showInputMessage="1" showErrorMessage="1" allowBlank="1" type="list">
      <formula1>$T$13:$T$19</formula1>
      <formula2>0</formula2>
    </dataValidation>
  </dataValidations>
  <pageMargins left="0.0395833333333333" right="0.0395833333333333" top="0.0395833333333334" bottom="0.0395833333333333" header="0.236111111111111" footer="0.511811023622047"/>
  <pageSetup orientation="landscape" paperSize="9" scale="80" horizontalDpi="300" verticalDpi="300"/>
  <headerFooter>
    <oddHeader>&amp;L&amp;"Aptos,Regular"&amp;1 &amp;Kff0000 Classificação: [Confidencial]#_x000d_</oddHeader>
    <oddFooter/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radardeprojetos@gmail.com</dc:creator>
  <dc:title xmlns:dc="http://purl.org/dc/elements/1.1/">Plano de Ação</dc:title>
  <dc:description xmlns:dc="http://purl.org/dc/elements/1.1/">(c) 2014 Vertex42 LLC. All Rights Reserved.</dc:description>
  <dcterms:created xmlns:dcterms="http://purl.org/dc/terms/" xmlns:xsi="http://www.w3.org/2001/XMLSchema-instance" xsi:type="dcterms:W3CDTF">2013-07-16T19:32:53Z</dcterms:created>
  <dcterms:modified xmlns:dcterms="http://purl.org/dc/terms/" xmlns:xsi="http://www.w3.org/2001/XMLSchema-instance" xsi:type="dcterms:W3CDTF">2026-07-03T04:09:54Z</dcterms:modified>
  <cp:category>Templates</cp:category>
  <cp:contentStatus>www.radardeprojetos.com.br</cp:contentStatus>
  <cp:revision>5</cp:revision>
  <cp:keywords>Radar de Projetos</cp:keywords>
</cp:coreProperties>
</file>

<file path=docProps/custom.xml><?xml version="1.0" encoding="utf-8"?>
<Properties xmlns="http://schemas.openxmlformats.org/officeDocument/2006/custom-properties">
  <property name="AuthorIds_UIVersion_1024" fmtid="{D5CDD505-2E9C-101B-9397-08002B2CF9AE}" pid="2">
    <vt:lpwstr xmlns:vt="http://schemas.openxmlformats.org/officeDocument/2006/docPropsVTypes">43</vt:lpwstr>
  </property>
  <property name="ContentTypeId" fmtid="{D5CDD505-2E9C-101B-9397-08002B2CF9AE}" pid="3">
    <vt:lpwstr xmlns:vt="http://schemas.openxmlformats.org/officeDocument/2006/docPropsVTypes">0x010100C3FDE4D550705E49805AEDDD8EC7C1FE</vt:lpwstr>
  </property>
  <property name="Copyright" fmtid="{D5CDD505-2E9C-101B-9397-08002B2CF9AE}" pid="4">
    <vt:lpwstr xmlns:vt="http://schemas.openxmlformats.org/officeDocument/2006/docPropsVTypes">2014 Vertex42 LLC</vt:lpwstr>
  </property>
  <property name="MSIP_Label_3abb9e8b-d978-4adc-91eb-f6985731f8da_ActionId" fmtid="{D5CDD505-2E9C-101B-9397-08002B2CF9AE}" pid="5">
    <vt:lpwstr xmlns:vt="http://schemas.openxmlformats.org/officeDocument/2006/docPropsVTypes">66c05db8-e822-4d95-a41d-d2f4298181d5</vt:lpwstr>
  </property>
  <property name="MSIP_Label_3abb9e8b-d978-4adc-91eb-f6985731f8da_ContentBits" fmtid="{D5CDD505-2E9C-101B-9397-08002B2CF9AE}" pid="6">
    <vt:lpwstr xmlns:vt="http://schemas.openxmlformats.org/officeDocument/2006/docPropsVTypes">1</vt:lpwstr>
  </property>
  <property name="MSIP_Label_3abb9e8b-d978-4adc-91eb-f6985731f8da_Enabled" fmtid="{D5CDD505-2E9C-101B-9397-08002B2CF9AE}" pid="7">
    <vt:lpwstr xmlns:vt="http://schemas.openxmlformats.org/officeDocument/2006/docPropsVTypes">true</vt:lpwstr>
  </property>
  <property name="MSIP_Label_3abb9e8b-d978-4adc-91eb-f6985731f8da_Method" fmtid="{D5CDD505-2E9C-101B-9397-08002B2CF9AE}" pid="8">
    <vt:lpwstr xmlns:vt="http://schemas.openxmlformats.org/officeDocument/2006/docPropsVTypes">Standard</vt:lpwstr>
  </property>
  <property name="MSIP_Label_3abb9e8b-d978-4adc-91eb-f6985731f8da_Name" fmtid="{D5CDD505-2E9C-101B-9397-08002B2CF9AE}" pid="9">
    <vt:lpwstr xmlns:vt="http://schemas.openxmlformats.org/officeDocument/2006/docPropsVTypes">Confidencial</vt:lpwstr>
  </property>
  <property name="MSIP_Label_3abb9e8b-d978-4adc-91eb-f6985731f8da_SetDate" fmtid="{D5CDD505-2E9C-101B-9397-08002B2CF9AE}" pid="10">
    <vt:lpwstr xmlns:vt="http://schemas.openxmlformats.org/officeDocument/2006/docPropsVTypes">2026-05-27T17:59:47Z</vt:lpwstr>
  </property>
  <property name="MSIP_Label_3abb9e8b-d978-4adc-91eb-f6985731f8da_SiteId" fmtid="{D5CDD505-2E9C-101B-9397-08002B2CF9AE}" pid="11">
    <vt:lpwstr xmlns:vt="http://schemas.openxmlformats.org/officeDocument/2006/docPropsVTypes">c990e1b5-af3d-45da-b8fa-632cb925a168</vt:lpwstr>
  </property>
  <property name="MSIP_Label_3abb9e8b-d978-4adc-91eb-f6985731f8da_Tag" fmtid="{D5CDD505-2E9C-101B-9397-08002B2CF9AE}" pid="12">
    <vt:lpwstr xmlns:vt="http://schemas.openxmlformats.org/officeDocument/2006/docPropsVTypes">10, 1, 2, 1</vt:lpwstr>
  </property>
  <property name="MediaServiceImageTags" fmtid="{D5CDD505-2E9C-101B-9397-08002B2CF9AE}" pid="13">
    <vt:lpwstr xmlns:vt="http://schemas.openxmlformats.org/officeDocument/2006/docPropsVTypes"/>
  </property>
  <property name="Source" fmtid="{D5CDD505-2E9C-101B-9397-08002B2CF9AE}" pid="14">
    <vt:lpwstr xmlns:vt="http://schemas.openxmlformats.org/officeDocument/2006/docPropsVTypes">http://www.vertex42.com/ExcelTemplates/travel-budget-worksheet.html</vt:lpwstr>
  </property>
  <property name="Status" fmtid="{D5CDD505-2E9C-101B-9397-08002B2CF9AE}" pid="15">
    <vt:lpwstr xmlns:vt="http://schemas.openxmlformats.org/officeDocument/2006/docPropsVTypes">Ativo</vt:lpwstr>
  </property>
  <property name="Version" fmtid="{D5CDD505-2E9C-101B-9397-08002B2CF9AE}" pid="16">
    <vt:lpwstr xmlns:vt="http://schemas.openxmlformats.org/officeDocument/2006/docPropsVTypes">1.0.0</vt:lpwstr>
  </property>
</Properties>
</file>